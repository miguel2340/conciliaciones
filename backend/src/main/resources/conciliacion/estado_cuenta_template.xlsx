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agos_radicacion\backend\src\main\resources\conciliacion\"/>
    </mc:Choice>
  </mc:AlternateContent>
  <xr:revisionPtr revIDLastSave="0" documentId="13_ncr:1_{215B0873-3256-47AA-8D86-14DCEBFF2B68}" xr6:coauthVersionLast="47" xr6:coauthVersionMax="47" xr10:uidLastSave="{00000000-0000-0000-0000-000000000000}"/>
  <bookViews>
    <workbookView xWindow="4155" yWindow="4155" windowWidth="21600" windowHeight="11295" activeTab="1" xr2:uid="{3DDB5251-C66A-41C9-83E0-FE774FA8FF65}"/>
  </bookViews>
  <sheets>
    <sheet name="Resumen" sheetId="18" r:id="rId1"/>
    <sheet name="Detalle_ Radicacion" sheetId="2" r:id="rId2"/>
  </sheets>
  <definedNames>
    <definedName name="_xlnm._FilterDatabase" localSheetId="1" hidden="1">'Detalle_ Radicacion'!$A$1:$AQ$11468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8" l="1"/>
  <c r="C8" i="18"/>
  <c r="D24" i="18"/>
  <c r="C24" i="18"/>
  <c r="E22" i="18"/>
  <c r="D20" i="18"/>
  <c r="C20" i="18"/>
  <c r="E20" i="18" s="1"/>
  <c r="D19" i="18"/>
  <c r="C19" i="18"/>
  <c r="D18" i="18"/>
  <c r="C18" i="18"/>
  <c r="D16" i="18"/>
  <c r="E16" i="18" s="1"/>
  <c r="D15" i="18"/>
  <c r="C15" i="18"/>
  <c r="C17" i="18" s="1"/>
  <c r="D13" i="18"/>
  <c r="C9" i="18"/>
  <c r="B6" i="18"/>
  <c r="D21" i="18" l="1"/>
  <c r="C21" i="18"/>
  <c r="E18" i="18"/>
  <c r="D17" i="18"/>
  <c r="E17" i="18" s="1"/>
  <c r="E24" i="18"/>
  <c r="C23" i="18"/>
  <c r="D23" i="18"/>
  <c r="D25" i="18" s="1"/>
  <c r="E19" i="18"/>
  <c r="E15" i="18"/>
  <c r="E21" i="18" l="1"/>
  <c r="C25" i="18"/>
  <c r="E25" i="18" s="1"/>
  <c r="E23" i="18"/>
</calcChain>
</file>

<file path=xl/sharedStrings.xml><?xml version="1.0" encoding="utf-8"?>
<sst xmlns="http://schemas.openxmlformats.org/spreadsheetml/2006/main" count="80" uniqueCount="80">
  <si>
    <t>FIDEICOMISOS PATRIMONIOS AUTÓNOMOS FIDUCIARIA LA PREVISORA S.A.
FONDO DE PRESTACIONES SOCIALES DEL MAGISTERIO</t>
  </si>
  <si>
    <r>
      <t xml:space="preserve">PROCESO: </t>
    </r>
    <r>
      <rPr>
        <sz val="9"/>
        <color theme="1"/>
        <rFont val="Calibri"/>
        <family val="2"/>
      </rPr>
      <t>Administración de Servicios de Salud</t>
    </r>
  </si>
  <si>
    <t xml:space="preserve">CÓDIGO: </t>
  </si>
  <si>
    <t>ESTADO DE CUENTA POR PRESTADOR</t>
  </si>
  <si>
    <t xml:space="preserve">NIT del Prestador o Proveedor </t>
  </si>
  <si>
    <t>Razón social</t>
  </si>
  <si>
    <r>
      <t>Corte de</t>
    </r>
    <r>
      <rPr>
        <b/>
        <sz val="10"/>
        <color rgb="FFFF0000"/>
        <rFont val="Calibri"/>
        <family val="2"/>
      </rPr>
      <t xml:space="preserve"> </t>
    </r>
    <r>
      <rPr>
        <b/>
        <sz val="10"/>
        <rFont val="Calibri"/>
        <family val="2"/>
      </rPr>
      <t>Radicación</t>
    </r>
    <r>
      <rPr>
        <b/>
        <sz val="10"/>
        <color rgb="FFFF0000"/>
        <rFont val="Calibri"/>
        <family val="2"/>
      </rPr>
      <t xml:space="preserve"> </t>
    </r>
  </si>
  <si>
    <t>Fecha de Elaboración</t>
  </si>
  <si>
    <t>Cantidad de facturas radicadas al corte</t>
  </si>
  <si>
    <t xml:space="preserve">Descripción </t>
  </si>
  <si>
    <t>Vigencia 2024</t>
  </si>
  <si>
    <t>Vigencia 2025</t>
  </si>
  <si>
    <r>
      <t xml:space="preserve">A. (+) Total Radicado </t>
    </r>
    <r>
      <rPr>
        <b/>
        <sz val="8"/>
        <color theme="1"/>
        <rFont val="Calibri"/>
        <family val="2"/>
      </rPr>
      <t>(Sin Devoluciones)</t>
    </r>
  </si>
  <si>
    <t xml:space="preserve">A1. Radicación corriente </t>
  </si>
  <si>
    <t xml:space="preserve">A2. Radicado no corriente </t>
  </si>
  <si>
    <t>B.(-) Sin Respuesta a glosa o aceptado</t>
  </si>
  <si>
    <t>C.(-) Valor Pagado</t>
  </si>
  <si>
    <t>C1. Vr por Aplicar Pago a factura</t>
  </si>
  <si>
    <t>C2. Vr Pago bajo factura</t>
  </si>
  <si>
    <r>
      <t xml:space="preserve">D. Anticipo Medico </t>
    </r>
    <r>
      <rPr>
        <b/>
        <sz val="8"/>
        <rFont val="Calibri"/>
        <family val="2"/>
      </rPr>
      <t>(Pendiente de legalizar)</t>
    </r>
  </si>
  <si>
    <t>E. (=) Estado Saldo (A-A1-B-C)</t>
  </si>
  <si>
    <t xml:space="preserve">F. (-) Valor Ratificado Glosa </t>
  </si>
  <si>
    <t>G. (=) Saldo Sin Glosas (E-F)</t>
  </si>
  <si>
    <r>
      <rPr>
        <b/>
        <sz val="10"/>
        <color theme="1"/>
        <rFont val="Calibri"/>
        <family val="2"/>
      </rPr>
      <t>Nota1</t>
    </r>
    <r>
      <rPr>
        <sz val="10"/>
        <color theme="1"/>
        <rFont val="Calibri"/>
        <family val="2"/>
      </rPr>
      <t xml:space="preserve">: en el literal G si el saldo refleja valor negativo indica que no es procedente liberar saldo por concepto de glosas viegentes </t>
    </r>
  </si>
  <si>
    <t xml:space="preserve">Elaborado por: </t>
  </si>
  <si>
    <t>Nota 2: El Presente formato no constituye pago obligación y por tanto no puede ser tomado como exigibilidad y valor definitivo; ya que las facturas están sujetas a un proceso de auditoría de cuentas médicas.</t>
  </si>
  <si>
    <t xml:space="preserve">Cargo: </t>
  </si>
  <si>
    <t xml:space="preserve">Profesional </t>
  </si>
  <si>
    <t>Nota 3: En los casos que registran valor ratificado de glosas; estan sujetos a variación conforme a las respuesta de glosas efectuadas en la plataforma.</t>
  </si>
  <si>
    <t>Coordinación de conciliación y cartera</t>
  </si>
  <si>
    <r>
      <rPr>
        <b/>
        <sz val="10"/>
        <rFont val="Calibri"/>
        <family val="2"/>
      </rPr>
      <t xml:space="preserve">Nota 4: </t>
    </r>
    <r>
      <rPr>
        <sz val="10"/>
        <rFont val="Calibri"/>
        <family val="2"/>
      </rPr>
      <t>La información contenida en el presente formato esta elaborado a la fecha de corte de radicación y no contempla la facturación en estado devuelta.</t>
    </r>
  </si>
  <si>
    <t>Dirección administrativa y Financiera de la 
Gerencia de Servicios de Salud FOMAG</t>
  </si>
  <si>
    <r>
      <rPr>
        <b/>
        <sz val="10"/>
        <rFont val="Calibri"/>
        <family val="2"/>
      </rPr>
      <t xml:space="preserve">Nota 5: </t>
    </r>
    <r>
      <rPr>
        <sz val="10"/>
        <rFont val="Calibri"/>
        <family val="2"/>
      </rPr>
      <t>Para el item C1 corresponde a facturacion a la que se realizó giro previo y por devoluciones sustentadas no se cuenta con valores para aplicar.</t>
    </r>
  </si>
  <si>
    <r>
      <t xml:space="preserve">VERSIÓN: </t>
    </r>
    <r>
      <rPr>
        <sz val="10"/>
        <color theme="1"/>
        <rFont val="Calibri"/>
        <family val="2"/>
      </rPr>
      <t>06</t>
    </r>
  </si>
  <si>
    <t>Evento</t>
  </si>
  <si>
    <t>Modalidad</t>
  </si>
  <si>
    <t>Yimer Paez</t>
  </si>
  <si>
    <t>id</t>
  </si>
  <si>
    <t>modalidad_pago</t>
  </si>
  <si>
    <t>nit</t>
  </si>
  <si>
    <t>nom_prestador</t>
  </si>
  <si>
    <t>tipo_red</t>
  </si>
  <si>
    <t>departamento</t>
  </si>
  <si>
    <t>municipio</t>
  </si>
  <si>
    <t>prefijo</t>
  </si>
  <si>
    <t>factura</t>
  </si>
  <si>
    <t>prefijo_factura</t>
  </si>
  <si>
    <t>mes_radicacion</t>
  </si>
  <si>
    <t>estado_aplicacion</t>
  </si>
  <si>
    <t>fecha_radicacion</t>
  </si>
  <si>
    <t>rango_dias</t>
  </si>
  <si>
    <t>fecha_factura</t>
  </si>
  <si>
    <t>valor_factura</t>
  </si>
  <si>
    <t>valor_iva</t>
  </si>
  <si>
    <t>nota_credito</t>
  </si>
  <si>
    <t>valor_glosa_inicial</t>
  </si>
  <si>
    <t>valor_no_glosado_inicial</t>
  </si>
  <si>
    <t>valor_aceptado_primera_respuesta</t>
  </si>
  <si>
    <t>valor_levantado_primera_respuesta</t>
  </si>
  <si>
    <t>valor_ratificado_primera_respuesta</t>
  </si>
  <si>
    <t>valor_aceptado_segunda_respuesta</t>
  </si>
  <si>
    <t>valor_levantado_segunda_respuesta</t>
  </si>
  <si>
    <t>valor_ratificado_segunda_respuesta</t>
  </si>
  <si>
    <t>valor_aceptado_conciliacion</t>
  </si>
  <si>
    <t>valor_levantado_conciliacion</t>
  </si>
  <si>
    <t>valor_ratificado_conciliacion</t>
  </si>
  <si>
    <t>Valor_actual_aceptado</t>
  </si>
  <si>
    <t>valor_actual_reconocido</t>
  </si>
  <si>
    <t>valor_final_ratificado</t>
  </si>
  <si>
    <t>En_tramite</t>
  </si>
  <si>
    <t>valor_pagado</t>
  </si>
  <si>
    <t>porcentaje_pago</t>
  </si>
  <si>
    <t>estado</t>
  </si>
  <si>
    <t>voucher</t>
  </si>
  <si>
    <t>feccha_pago</t>
  </si>
  <si>
    <t>Estado_Saldo</t>
  </si>
  <si>
    <t>Saldo_Sin_Glosas</t>
  </si>
  <si>
    <t>Estado_de_Auditoria</t>
  </si>
  <si>
    <t>Estado_Aplicacion_Pagos</t>
  </si>
  <si>
    <t>Porc_Pagos_Aplicado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</si>
</sst>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#,##0.000000"/>
    <numFmt numFmtId="166" formatCode="&quot;No. Formato &quot;\-00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1"/>
      <color rgb="FF3F3F3F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color rgb="FF3F3F3F"/>
      <name val="Calibri"/>
      <family val="2"/>
    </font>
    <font>
      <b/>
      <sz val="10"/>
      <color rgb="FFFF0000"/>
      <name val="Calibri"/>
      <family val="2"/>
    </font>
    <font>
      <u/>
      <sz val="10"/>
      <color theme="1"/>
      <name val="Calibri"/>
      <family val="2"/>
    </font>
    <font>
      <sz val="10"/>
      <name val="Calibri"/>
      <family val="2"/>
    </font>
    <font>
      <b/>
      <sz val="8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70C0"/>
      <name val="Calibri"/>
      <family val="2"/>
    </font>
    <font>
      <b/>
      <sz val="12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3" borderId="1" applyNumberFormat="0" applyAlignment="0" applyProtection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1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/>
    <xf numFmtId="165" fontId="6" fillId="0" borderId="0" xfId="0" applyNumberFormat="1" applyFont="1"/>
    <xf numFmtId="0" fontId="7" fillId="0" borderId="2" xfId="0" applyFont="1" applyBorder="1"/>
    <xf numFmtId="0" fontId="7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9" fillId="3" borderId="2" xfId="4" applyFont="1" applyBorder="1"/>
    <xf numFmtId="0" fontId="9" fillId="2" borderId="2" xfId="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6" fontId="6" fillId="0" borderId="2" xfId="0" applyNumberFormat="1" applyFont="1" applyBorder="1"/>
    <xf numFmtId="6" fontId="6" fillId="0" borderId="2" xfId="3" applyNumberFormat="1" applyFont="1" applyBorder="1"/>
    <xf numFmtId="0" fontId="11" fillId="0" borderId="2" xfId="0" applyFont="1" applyBorder="1" applyAlignment="1">
      <alignment horizontal="left" indent="3"/>
    </xf>
    <xf numFmtId="6" fontId="11" fillId="0" borderId="2" xfId="0" applyNumberFormat="1" applyFont="1" applyBorder="1"/>
    <xf numFmtId="0" fontId="8" fillId="4" borderId="2" xfId="0" applyFont="1" applyFill="1" applyBorder="1" applyAlignment="1">
      <alignment horizontal="left" indent="1"/>
    </xf>
    <xf numFmtId="6" fontId="12" fillId="4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6" fontId="7" fillId="2" borderId="2" xfId="3" applyNumberFormat="1" applyFont="1" applyFill="1" applyBorder="1"/>
    <xf numFmtId="0" fontId="7" fillId="0" borderId="2" xfId="0" applyFont="1" applyBorder="1" applyAlignment="1">
      <alignment horizontal="left" vertical="center" wrapText="1"/>
    </xf>
    <xf numFmtId="6" fontId="6" fillId="0" borderId="0" xfId="0" applyNumberFormat="1" applyFont="1"/>
    <xf numFmtId="0" fontId="6" fillId="0" borderId="2" xfId="0" applyFont="1" applyBorder="1" applyAlignment="1">
      <alignment horizontal="left" indent="2"/>
    </xf>
    <xf numFmtId="0" fontId="7" fillId="5" borderId="2" xfId="0" applyFont="1" applyFill="1" applyBorder="1" applyAlignment="1">
      <alignment horizontal="left"/>
    </xf>
    <xf numFmtId="6" fontId="7" fillId="5" borderId="2" xfId="0" applyNumberFormat="1" applyFont="1" applyFill="1" applyBorder="1"/>
    <xf numFmtId="6" fontId="7" fillId="5" borderId="2" xfId="3" applyNumberFormat="1" applyFont="1" applyFill="1" applyBorder="1"/>
    <xf numFmtId="4" fontId="6" fillId="0" borderId="0" xfId="0" applyNumberFormat="1" applyFont="1"/>
    <xf numFmtId="0" fontId="2" fillId="0" borderId="0" xfId="0" applyFont="1"/>
    <xf numFmtId="0" fontId="7" fillId="2" borderId="4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6" fontId="7" fillId="5" borderId="2" xfId="3" applyNumberFormat="1" applyFont="1" applyFill="1" applyBorder="1" applyAlignment="1"/>
    <xf numFmtId="6" fontId="6" fillId="0" borderId="2" xfId="3" applyNumberFormat="1" applyFont="1" applyBorder="1" applyAlignment="1"/>
    <xf numFmtId="6" fontId="12" fillId="4" borderId="2" xfId="3" applyNumberFormat="1" applyFont="1" applyFill="1" applyBorder="1" applyAlignment="1"/>
    <xf numFmtId="6" fontId="7" fillId="2" borderId="2" xfId="3" applyNumberFormat="1" applyFont="1" applyFill="1" applyBorder="1" applyAlignment="1"/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center" wrapText="1"/>
    </xf>
    <xf numFmtId="6" fontId="17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center"/>
    </xf>
    <xf numFmtId="0" fontId="10" fillId="0" borderId="0" xfId="0" applyFont="1"/>
    <xf numFmtId="6" fontId="2" fillId="0" borderId="0" xfId="0" applyNumberFormat="1" applyFont="1"/>
    <xf numFmtId="3" fontId="18" fillId="0" borderId="0" xfId="0" applyNumberFormat="1" applyFont="1"/>
    <xf numFmtId="44" fontId="19" fillId="0" borderId="0" xfId="3" applyFont="1"/>
    <xf numFmtId="0" fontId="19" fillId="0" borderId="0" xfId="0" applyFont="1"/>
    <xf numFmtId="0" fontId="9" fillId="3" borderId="2" xfId="4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9" fontId="1" fillId="0" borderId="0" xfId="7" applyFont="1"/>
    <xf numFmtId="6" fontId="1" fillId="0" borderId="0" xfId="0" applyNumberFormat="1" applyFont="1"/>
    <xf numFmtId="0" fontId="12" fillId="0" borderId="2" xfId="0" applyFont="1" applyBorder="1" applyAlignment="1">
      <alignment horizontal="left" vertical="center" wrapText="1"/>
    </xf>
    <xf numFmtId="0" fontId="9" fillId="0" borderId="5" xfId="4" applyFont="1" applyFill="1" applyBorder="1" applyAlignment="1">
      <alignment horizontal="center" vertical="center" shrinkToFit="1"/>
    </xf>
    <xf numFmtId="0" fontId="9" fillId="0" borderId="3" xfId="4" applyFont="1" applyFill="1" applyBorder="1" applyAlignment="1">
      <alignment horizontal="center" vertical="center" shrinkToFit="1"/>
    </xf>
    <xf numFmtId="0" fontId="9" fillId="0" borderId="4" xfId="4" applyFont="1" applyFill="1" applyBorder="1" applyAlignment="1">
      <alignment horizontal="center" vertical="center" shrinkToFit="1"/>
    </xf>
    <xf numFmtId="14" fontId="9" fillId="0" borderId="5" xfId="4" applyNumberFormat="1" applyFont="1" applyFill="1" applyBorder="1" applyAlignment="1" applyProtection="1">
      <alignment horizontal="center" vertical="center"/>
      <protection locked="0"/>
    </xf>
    <xf numFmtId="14" fontId="9" fillId="0" borderId="3" xfId="4" applyNumberFormat="1" applyFont="1" applyFill="1" applyBorder="1" applyAlignment="1" applyProtection="1">
      <alignment horizontal="center" vertical="center"/>
      <protection locked="0"/>
    </xf>
    <xf numFmtId="14" fontId="9" fillId="0" borderId="4" xfId="4" applyNumberFormat="1" applyFont="1" applyFill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wrapText="1"/>
      <protection locked="0"/>
    </xf>
    <xf numFmtId="14" fontId="7" fillId="0" borderId="3" xfId="0" applyNumberFormat="1" applyFont="1" applyBorder="1" applyAlignment="1" applyProtection="1">
      <alignment horizontal="center" wrapText="1"/>
      <protection locked="0"/>
    </xf>
    <xf numFmtId="14" fontId="7" fillId="0" borderId="4" xfId="0" applyNumberFormat="1" applyFont="1" applyBorder="1" applyAlignment="1" applyProtection="1">
      <alignment horizontal="center" wrapText="1"/>
      <protection locked="0"/>
    </xf>
    <xf numFmtId="0" fontId="9" fillId="3" borderId="2" xfId="4" applyFont="1" applyBorder="1" applyAlignment="1">
      <alignment horizontal="left" vertical="top"/>
    </xf>
    <xf numFmtId="3" fontId="9" fillId="0" borderId="5" xfId="4" applyNumberFormat="1" applyFont="1" applyFill="1" applyBorder="1" applyAlignment="1">
      <alignment horizontal="center" vertical="center"/>
    </xf>
    <xf numFmtId="3" fontId="9" fillId="0" borderId="4" xfId="4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14" fontId="20" fillId="0" borderId="5" xfId="0" applyNumberFormat="1" applyFont="1" applyBorder="1" applyAlignment="1" applyProtection="1">
      <alignment horizontal="center" wrapText="1"/>
      <protection locked="0"/>
    </xf>
    <xf numFmtId="14" fontId="20" fillId="0" borderId="3" xfId="0" applyNumberFormat="1" applyFont="1" applyBorder="1" applyAlignment="1" applyProtection="1">
      <alignment horizontal="center" wrapText="1"/>
      <protection locked="0"/>
    </xf>
    <xf numFmtId="14" fontId="20" fillId="0" borderId="4" xfId="0" applyNumberFormat="1" applyFont="1" applyBorder="1" applyAlignment="1" applyProtection="1">
      <alignment horizontal="center" wrapText="1"/>
      <protection locked="0"/>
    </xf>
    <xf numFmtId="0" fontId="6" fillId="0" borderId="2" xfId="0" applyFont="1" applyBorder="1" applyAlignment="1">
      <alignment horizontal="left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 wrapText="1"/>
    </xf>
    <xf numFmtId="3" fontId="9" fillId="0" borderId="5" xfId="1" applyNumberFormat="1" applyFont="1" applyFill="1" applyBorder="1" applyAlignment="1">
      <alignment horizontal="center" vertical="center"/>
    </xf>
    <xf numFmtId="3" fontId="9" fillId="0" borderId="3" xfId="1" applyNumberFormat="1" applyFont="1" applyFill="1" applyBorder="1" applyAlignment="1">
      <alignment horizontal="center" vertical="center"/>
    </xf>
    <xf numFmtId="3" fontId="9" fillId="0" borderId="4" xfId="1" applyNumberFormat="1" applyFont="1" applyFill="1" applyBorder="1" applyAlignment="1">
      <alignment horizontal="center" vertical="center"/>
    </xf>
    <xf numFmtId="166" fontId="7" fillId="0" borderId="2" xfId="0" applyNumberFormat="1" applyFont="1" applyBorder="1" applyAlignment="1" applyProtection="1">
      <alignment horizontal="center" vertical="center" wrapText="1"/>
      <protection locked="0"/>
    </xf>
    <xf numFmtId="0" fontId="22" fillId="0" borderId="0" xfId="0" applyFont="1"/>
    <xf numFmtId="14" fontId="22" fillId="0" borderId="0" xfId="0" applyNumberFormat="1" applyFont="1"/>
    <xf numFmtId="6" fontId="22" fillId="0" borderId="0" xfId="0" applyNumberFormat="1" applyFont="1"/>
    <xf numFmtId="9" fontId="22" fillId="0" borderId="0" xfId="7" applyFont="1"/>
  </cellXfs>
  <cellStyles count="11">
    <cellStyle name="Millares" xfId="1" builtinId="3"/>
    <cellStyle name="Millares 2" xfId="2" xr:uid="{656A6256-D320-4FA9-8244-60036D0EC095}"/>
    <cellStyle name="Moneda" xfId="3" builtinId="4"/>
    <cellStyle name="Moneda 2" xfId="9" xr:uid="{A80F802D-A95A-4C25-ACA7-C2EAB8BA94CF}"/>
    <cellStyle name="Normal" xfId="0" builtinId="0"/>
    <cellStyle name="Normal 2" xfId="5" xr:uid="{3A49BFC9-9CBD-44C9-BEF7-0C0D0205AC22}"/>
    <cellStyle name="Normal 2 2" xfId="6" xr:uid="{074572F7-98ED-4623-A05B-60F05B5DEAD5}"/>
    <cellStyle name="Normal 3" xfId="8" xr:uid="{9D7249CE-3F44-4AAD-B6DD-6A13B94C8946}"/>
    <cellStyle name="Porcentaje" xfId="7" builtinId="5"/>
    <cellStyle name="Porcentaje 2" xfId="10" xr:uid="{49E4DEAD-263E-4251-85B9-C7DF34151F6F}"/>
    <cellStyle name="Salida" xfId="4" builtinId="21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228600</xdr:rowOff>
    </xdr:from>
    <xdr:to>
      <xdr:col>1</xdr:col>
      <xdr:colOff>2012593</xdr:colOff>
      <xdr:row>1</xdr:row>
      <xdr:rowOff>639445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89935C-3B83-426D-8A7F-F676A1437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90525"/>
          <a:ext cx="1907818" cy="410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3C5F-C715-457E-87A1-86127309B613}">
  <dimension ref="B2:I31"/>
  <sheetViews>
    <sheetView showGridLines="0" topLeftCell="B1" zoomScaleNormal="100" workbookViewId="0">
      <selection activeCell="C4" sqref="C4:D4"/>
    </sheetView>
  </sheetViews>
  <sheetFormatPr baseColWidth="10" defaultColWidth="11.5703125" defaultRowHeight="12.75" outlineLevelRow="1" x14ac:dyDescent="0.2"/>
  <cols>
    <col min="1" max="1" width="3.42578125" style="1" customWidth="1"/>
    <col min="2" max="2" width="41.28515625" style="1" customWidth="1"/>
    <col min="3" max="5" width="20.7109375" style="1" customWidth="1"/>
    <col min="6" max="6" width="2.7109375" style="1" customWidth="1"/>
    <col min="7" max="7" width="30.7109375" style="41" customWidth="1"/>
    <col min="8" max="8" width="12.28515625" style="1" bestFit="1" customWidth="1"/>
    <col min="9" max="9" width="12.7109375" style="1" bestFit="1" customWidth="1"/>
    <col min="10" max="16384" width="11.5703125" style="1"/>
  </cols>
  <sheetData>
    <row r="2" spans="2:9" ht="51.4" customHeight="1" x14ac:dyDescent="0.2">
      <c r="B2" s="78"/>
      <c r="C2" s="79" t="s">
        <v>0</v>
      </c>
      <c r="D2" s="79"/>
      <c r="E2" s="8" t="s">
        <v>1</v>
      </c>
    </row>
    <row r="3" spans="2:9" x14ac:dyDescent="0.2">
      <c r="B3" s="78"/>
      <c r="C3" s="80">
        <f>'Detalle_ Radicacion'!C2</f>
        <v>0</v>
      </c>
      <c r="D3" s="81"/>
      <c r="E3" s="6" t="s">
        <v>2</v>
      </c>
    </row>
    <row r="4" spans="2:9" x14ac:dyDescent="0.2">
      <c r="B4" s="78"/>
      <c r="C4" s="82" t="s">
        <v>3</v>
      </c>
      <c r="D4" s="82"/>
      <c r="E4" s="7" t="s">
        <v>33</v>
      </c>
    </row>
    <row r="5" spans="2:9" ht="6.75" customHeight="1" x14ac:dyDescent="0.2">
      <c r="B5" s="3"/>
      <c r="D5" s="2"/>
    </row>
    <row r="6" spans="2:9" ht="24.6" customHeight="1" x14ac:dyDescent="0.2">
      <c r="B6" s="49" t="str">
        <f>CONCATENATE("Estado de cuenta por Prestador al ", TEXT(C10, "dd-mmmm-yyyy"))</f>
        <v>Estado de cuenta por Prestador al 30-septiembre-2025</v>
      </c>
      <c r="C6" s="86">
        <v>2384</v>
      </c>
      <c r="D6" s="86"/>
      <c r="E6" s="86"/>
    </row>
    <row r="7" spans="2:9" ht="6.75" customHeight="1" x14ac:dyDescent="0.2">
      <c r="B7" s="3"/>
      <c r="D7" s="2"/>
    </row>
    <row r="8" spans="2:9" x14ac:dyDescent="0.2">
      <c r="B8" s="9" t="s">
        <v>4</v>
      </c>
      <c r="C8" s="83">
        <f>'Detalle_ Radicacion'!C2</f>
        <v>0</v>
      </c>
      <c r="D8" s="84"/>
      <c r="E8" s="85"/>
    </row>
    <row r="9" spans="2:9" x14ac:dyDescent="0.2">
      <c r="B9" s="9" t="s">
        <v>5</v>
      </c>
      <c r="C9" s="56">
        <f>'Detalle_ Radicacion'!D2</f>
        <v>0</v>
      </c>
      <c r="D9" s="57"/>
      <c r="E9" s="58"/>
    </row>
    <row r="10" spans="2:9" x14ac:dyDescent="0.2">
      <c r="B10" s="9" t="s">
        <v>6</v>
      </c>
      <c r="C10" s="59">
        <v>45930</v>
      </c>
      <c r="D10" s="60"/>
      <c r="E10" s="61"/>
      <c r="I10" s="28"/>
    </row>
    <row r="11" spans="2:9" ht="13.5" x14ac:dyDescent="0.25">
      <c r="B11" s="9" t="s">
        <v>7</v>
      </c>
      <c r="C11" s="62">
        <v>45937</v>
      </c>
      <c r="D11" s="63"/>
      <c r="E11" s="64"/>
      <c r="I11" s="45"/>
    </row>
    <row r="12" spans="2:9" ht="15.75" x14ac:dyDescent="0.25">
      <c r="B12" s="48" t="s">
        <v>35</v>
      </c>
      <c r="C12" s="70" t="s">
        <v>34</v>
      </c>
      <c r="D12" s="71"/>
      <c r="E12" s="72"/>
      <c r="I12" s="45"/>
    </row>
    <row r="13" spans="2:9" x14ac:dyDescent="0.2">
      <c r="B13" s="65" t="s">
        <v>8</v>
      </c>
      <c r="C13" s="65"/>
      <c r="D13" s="66">
        <f>COUNTA(_xlfn.UNIQUE('Detalle_ Radicacion'!J:J))-2</f>
        <v>0</v>
      </c>
      <c r="E13" s="67"/>
      <c r="I13" s="28"/>
    </row>
    <row r="14" spans="2:9" s="3" customFormat="1" x14ac:dyDescent="0.2">
      <c r="B14" s="10" t="s">
        <v>9</v>
      </c>
      <c r="C14" s="11" t="s">
        <v>10</v>
      </c>
      <c r="D14" s="11" t="s">
        <v>11</v>
      </c>
      <c r="E14" s="29"/>
      <c r="G14" s="42"/>
    </row>
    <row r="15" spans="2:9" s="4" customFormat="1" x14ac:dyDescent="0.2">
      <c r="B15" s="24" t="s">
        <v>12</v>
      </c>
      <c r="C15" s="25">
        <f>SUMIFS('Detalle_ Radicacion'!P:P,'Detalle_ Radicacion'!M:M, "&gt;=01/01/2024",'Detalle_ Radicacion'!M:M, "&lt;=31/12/2024")</f>
        <v>0</v>
      </c>
      <c r="D15" s="26">
        <f>SUMIFS('Detalle_ Radicacion'!P:P,'Detalle_ Radicacion'!M:M, "&gt;=01/01/2025",'Detalle_ Radicacion'!M:M, "&lt;=31/12/2025")</f>
        <v>0</v>
      </c>
      <c r="E15" s="34">
        <f>SUM(C15:D15)</f>
        <v>0</v>
      </c>
      <c r="G15" s="43"/>
      <c r="H15" s="28"/>
    </row>
    <row r="16" spans="2:9" x14ac:dyDescent="0.2">
      <c r="B16" s="23" t="s">
        <v>13</v>
      </c>
      <c r="C16" s="13">
        <v>0</v>
      </c>
      <c r="D16" s="14">
        <f>+SUMIF('Detalle_ Radicacion'!N:N,"0 a 30 dí­as",'Detalle_ Radicacion'!P:P)+SUMIF('Detalle_ Radicacion'!N:N,"31 a 45 dí­as",'Detalle_ Radicacion'!P:P)+SUMIF('Detalle_ Radicacion'!N:N,"46 a 60 dí­as",'Detalle_ Radicacion'!P:P)</f>
        <v>0</v>
      </c>
      <c r="E16" s="35">
        <f t="shared" ref="E16:E25" si="0">SUM(C16:D16)</f>
        <v>0</v>
      </c>
      <c r="G16" s="46"/>
      <c r="H16" s="28"/>
    </row>
    <row r="17" spans="2:9" x14ac:dyDescent="0.2">
      <c r="B17" s="23" t="s">
        <v>14</v>
      </c>
      <c r="C17" s="13">
        <f>+C15</f>
        <v>0</v>
      </c>
      <c r="D17" s="14">
        <f>+D15-D16</f>
        <v>0</v>
      </c>
      <c r="E17" s="35">
        <f t="shared" si="0"/>
        <v>0</v>
      </c>
      <c r="G17" s="46"/>
      <c r="H17" s="28"/>
    </row>
    <row r="18" spans="2:9" x14ac:dyDescent="0.2">
      <c r="B18" s="24" t="s">
        <v>15</v>
      </c>
      <c r="C18" s="25">
        <f>SUMIFS('Detalle_ Radicacion'!AD:AD,'Detalle_ Radicacion'!M:M, "&gt;=01/01/2024",'Detalle_ Radicacion'!M:M, "&lt;=31/12/2024")</f>
        <v>0</v>
      </c>
      <c r="D18" s="26">
        <f>SUMIFS('Detalle_ Radicacion'!AD:AD,'Detalle_ Radicacion'!M:M, "&gt;=01/01/2025",'Detalle_ Radicacion'!M:M, "&lt;=31/12/2025")</f>
        <v>0</v>
      </c>
      <c r="E18" s="34">
        <f t="shared" si="0"/>
        <v>0</v>
      </c>
      <c r="G18" s="47"/>
      <c r="H18" s="28"/>
    </row>
    <row r="19" spans="2:9" x14ac:dyDescent="0.2">
      <c r="B19" s="24" t="s">
        <v>16</v>
      </c>
      <c r="C19" s="25">
        <f>SUMIFS('Detalle_ Radicacion'!AH:AH,'Detalle_ Radicacion'!M:M, "&gt;=01/01/2024",'Detalle_ Radicacion'!M:M, "&lt;=31/12/2024")</f>
        <v>0</v>
      </c>
      <c r="D19" s="26">
        <f>SUMIFS('Detalle_ Radicacion'!AH:AH,'Detalle_ Radicacion'!M:M, "&gt;=01/01/2025",'Detalle_ Radicacion'!M:M, "&lt;=31/12/2025")</f>
        <v>0</v>
      </c>
      <c r="E19" s="34">
        <f>SUM(C19:D19)</f>
        <v>0</v>
      </c>
      <c r="F19" s="5"/>
      <c r="G19" s="47"/>
      <c r="H19" s="44"/>
    </row>
    <row r="20" spans="2:9" outlineLevel="1" x14ac:dyDescent="0.2">
      <c r="B20" s="15" t="s">
        <v>17</v>
      </c>
      <c r="C20" s="16">
        <f>+SUMIFS('Detalle_ Radicacion'!AO:AO,'Detalle_ Radicacion'!N:N, "&lt;01/01/2024",'Detalle_ Radicacion'!AO:AO,"&lt;0")</f>
        <v>0</v>
      </c>
      <c r="D20" s="16">
        <f>SUMIFS('Detalle_ Radicacion'!AO:AO,'Detalle_ Radicacion'!N:N, "&lt;01/01/2025",'Detalle_ Radicacion'!AO:AO,"&lt;0")</f>
        <v>0</v>
      </c>
      <c r="E20" s="35">
        <f t="shared" si="0"/>
        <v>0</v>
      </c>
      <c r="G20" s="47"/>
    </row>
    <row r="21" spans="2:9" outlineLevel="1" x14ac:dyDescent="0.2">
      <c r="B21" s="15" t="s">
        <v>18</v>
      </c>
      <c r="C21" s="16">
        <f>+C19-C20</f>
        <v>0</v>
      </c>
      <c r="D21" s="16">
        <f>+D19-D20</f>
        <v>0</v>
      </c>
      <c r="E21" s="35">
        <f t="shared" si="0"/>
        <v>0</v>
      </c>
    </row>
    <row r="22" spans="2:9" outlineLevel="1" x14ac:dyDescent="0.2">
      <c r="B22" s="17" t="s">
        <v>19</v>
      </c>
      <c r="C22" s="18">
        <v>0</v>
      </c>
      <c r="D22" s="18">
        <v>0</v>
      </c>
      <c r="E22" s="36">
        <f t="shared" si="0"/>
        <v>0</v>
      </c>
      <c r="G22" s="40"/>
      <c r="H22" s="22"/>
      <c r="I22" s="22"/>
    </row>
    <row r="23" spans="2:9" x14ac:dyDescent="0.2">
      <c r="B23" s="19" t="s">
        <v>20</v>
      </c>
      <c r="C23" s="20">
        <f>+C15-C16-C18-C19</f>
        <v>0</v>
      </c>
      <c r="D23" s="20">
        <f>+D15-D16-D18-D19</f>
        <v>0</v>
      </c>
      <c r="E23" s="37">
        <f t="shared" si="0"/>
        <v>0</v>
      </c>
    </row>
    <row r="24" spans="2:9" x14ac:dyDescent="0.2">
      <c r="B24" s="12" t="s">
        <v>21</v>
      </c>
      <c r="C24" s="13">
        <f>SUMIFS('Detalle_ Radicacion'!AF:AF,'Detalle_ Radicacion'!M:M, "&gt;=01/01/2024",'Detalle_ Radicacion'!M:M, "&lt;=31/12/2024")</f>
        <v>0</v>
      </c>
      <c r="D24" s="13">
        <f>SUMIFS('Detalle_ Radicacion'!AF:AF, 'Detalle_ Radicacion'!N:N, "61 a 90 dí­as", 'Detalle_ Radicacion'!M:M, "&gt;=01/01/2025", 'Detalle_ Radicacion'!M:M, "&lt;=31/12/2025")
+SUMIFS('Detalle_ Radicacion'!AF:AF, 'Detalle_ Radicacion'!N:N, "91 a 120 dí­as", 'Detalle_ Radicacion'!M:M, "&gt;=01/01/2025", 'Detalle_ Radicacion'!M:M, "&lt;=31/12/2025")
+SUMIFS('Detalle_ Radicacion'!AF:AF, 'Detalle_ Radicacion'!N:N, "121 a 150 dí­as", 'Detalle_ Radicacion'!M:M, "&gt;=01/01/2025", 'Detalle_ Radicacion'!M:M, "&lt;=31/12/2025")
+SUMIFS('Detalle_ Radicacion'!AF:AF, 'Detalle_ Radicacion'!N:N, "151 a 180 dí­as", 'Detalle_ Radicacion'!M:M, "&gt;=01/01/2025", 'Detalle_ Radicacion'!M:M, "&lt;=31/12/2025")
+SUMIFS('Detalle_ Radicacion'!AF:AF, 'Detalle_ Radicacion'!N:N, "Mayor a 180 dí­as", 'Detalle_ Radicacion'!M:M, "&gt;=01/01/2025", 'Detalle_ Radicacion'!M:M, "&lt;=31/12/2025")</f>
        <v>0</v>
      </c>
      <c r="E24" s="35">
        <f t="shared" si="0"/>
        <v>0</v>
      </c>
      <c r="H24" s="27"/>
      <c r="I24" s="27"/>
    </row>
    <row r="25" spans="2:9" x14ac:dyDescent="0.2">
      <c r="B25" s="19" t="s">
        <v>22</v>
      </c>
      <c r="C25" s="20">
        <f>+C23-C24</f>
        <v>0</v>
      </c>
      <c r="D25" s="20">
        <f>+D23-D24</f>
        <v>0</v>
      </c>
      <c r="E25" s="37">
        <f t="shared" si="0"/>
        <v>0</v>
      </c>
      <c r="G25" s="40"/>
    </row>
    <row r="26" spans="2:9" ht="46.15" customHeight="1" x14ac:dyDescent="0.2">
      <c r="B26" s="68" t="s">
        <v>23</v>
      </c>
      <c r="C26" s="69"/>
      <c r="D26" s="7" t="s">
        <v>24</v>
      </c>
      <c r="E26" s="38" t="s">
        <v>36</v>
      </c>
      <c r="G26" s="40"/>
    </row>
    <row r="27" spans="2:9" ht="54" customHeight="1" x14ac:dyDescent="0.2">
      <c r="B27" s="68" t="s">
        <v>25</v>
      </c>
      <c r="C27" s="69"/>
      <c r="D27" s="21" t="s">
        <v>26</v>
      </c>
      <c r="E27" s="39" t="s">
        <v>27</v>
      </c>
      <c r="G27" s="40"/>
      <c r="I27" s="22"/>
    </row>
    <row r="28" spans="2:9" ht="46.15" customHeight="1" x14ac:dyDescent="0.2">
      <c r="B28" s="73" t="s">
        <v>28</v>
      </c>
      <c r="C28" s="73"/>
      <c r="D28" s="74" t="s">
        <v>29</v>
      </c>
      <c r="E28" s="75"/>
    </row>
    <row r="29" spans="2:9" ht="27" customHeight="1" x14ac:dyDescent="0.2">
      <c r="B29" s="55" t="s">
        <v>30</v>
      </c>
      <c r="C29" s="55"/>
      <c r="D29" s="30"/>
      <c r="E29" s="31"/>
    </row>
    <row r="30" spans="2:9" ht="23.65" customHeight="1" x14ac:dyDescent="0.2">
      <c r="B30" s="55"/>
      <c r="C30" s="55"/>
      <c r="D30" s="76" t="s">
        <v>31</v>
      </c>
      <c r="E30" s="77"/>
    </row>
    <row r="31" spans="2:9" ht="44.65" customHeight="1" x14ac:dyDescent="0.2">
      <c r="B31" s="55" t="s">
        <v>32</v>
      </c>
      <c r="C31" s="55"/>
      <c r="D31" s="32"/>
      <c r="E31" s="33"/>
    </row>
  </sheetData>
  <mergeCells count="19">
    <mergeCell ref="B2:B4"/>
    <mergeCell ref="C2:D2"/>
    <mergeCell ref="C3:D3"/>
    <mergeCell ref="C4:D4"/>
    <mergeCell ref="C8:E8"/>
    <mergeCell ref="C6:E6"/>
    <mergeCell ref="B31:C31"/>
    <mergeCell ref="C9:E9"/>
    <mergeCell ref="C10:E10"/>
    <mergeCell ref="C11:E11"/>
    <mergeCell ref="B13:C13"/>
    <mergeCell ref="D13:E13"/>
    <mergeCell ref="B26:C26"/>
    <mergeCell ref="C12:E12"/>
    <mergeCell ref="B27:C27"/>
    <mergeCell ref="B28:C28"/>
    <mergeCell ref="D28:E28"/>
    <mergeCell ref="B29:C30"/>
    <mergeCell ref="D30:E30"/>
  </mergeCells>
  <conditionalFormatting sqref="C6 C11:C12">
    <cfRule type="expression" dxfId="0" priority="1">
      <formula>ISBLANK(C6)</formula>
    </cfRule>
  </conditionalFormatting>
  <dataValidations count="2">
    <dataValidation type="list" allowBlank="1" showInputMessage="1" showErrorMessage="1" sqref="E26" xr:uid="{94C6C133-4C59-4A12-B789-9658F51E8C1F}">
      <formula1>"Yimer Paez,Alejandro Becerra,Roger Castillo ,Jerson Julio Lopez, Felipe Zuluaga, Yenifer Higuera"</formula1>
    </dataValidation>
    <dataValidation type="list" allowBlank="1" showInputMessage="1" showErrorMessage="1" sqref="C12:E12" xr:uid="{AB26577B-6E07-4063-8752-037D12887DF8}">
      <formula1>"Evento, Medicamento, PGP, Cápita"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AF8-1CA8-4869-90BC-81C09C1B8E4F}">
  <sheetPr codeName="Hoja1"/>
  <dimension ref="A1:AQ3494"/>
  <sheetViews>
    <sheetView showGridLines="0" tabSelected="1" zoomScaleNormal="100" workbookViewId="0">
      <pane ySplit="1" topLeftCell="A2" activePane="bottomLeft" state="frozen"/>
      <selection pane="bottomLeft" sqref="A1:XFD1"/>
    </sheetView>
  </sheetViews>
  <sheetFormatPr baseColWidth="10" defaultColWidth="14.5703125" defaultRowHeight="12.75" x14ac:dyDescent="0.2"/>
  <cols>
    <col min="1" max="1" width="6.5703125" style="50" bestFit="1" customWidth="1"/>
    <col min="2" max="2" width="14.42578125" style="50" bestFit="1" customWidth="1"/>
    <col min="3" max="3" width="8.140625" style="50" bestFit="1" customWidth="1"/>
    <col min="4" max="4" width="52.42578125" style="50" bestFit="1" customWidth="1"/>
    <col min="5" max="5" width="9.42578125" style="50" bestFit="1" customWidth="1"/>
    <col min="6" max="6" width="12.85546875" style="50" bestFit="1" customWidth="1"/>
    <col min="7" max="7" width="9.85546875" style="50" bestFit="1" customWidth="1"/>
    <col min="8" max="8" width="7.5703125" style="50" bestFit="1" customWidth="1"/>
    <col min="9" max="9" width="8.42578125" style="50" bestFit="1" customWidth="1"/>
    <col min="10" max="10" width="13.28515625" style="50" bestFit="1" customWidth="1"/>
    <col min="11" max="11" width="14.28515625" style="50" bestFit="1" customWidth="1"/>
    <col min="12" max="12" width="30.5703125" style="50" bestFit="1" customWidth="1"/>
    <col min="13" max="13" width="15.5703125" style="51" bestFit="1" customWidth="1"/>
    <col min="14" max="14" width="13.5703125" style="50" bestFit="1" customWidth="1"/>
    <col min="15" max="15" width="13.140625" style="51" bestFit="1" customWidth="1"/>
    <col min="16" max="16" width="12.42578125" style="54" bestFit="1" customWidth="1"/>
    <col min="17" max="17" width="9.42578125" style="54" bestFit="1" customWidth="1"/>
    <col min="18" max="18" width="11.85546875" style="54" bestFit="1" customWidth="1"/>
    <col min="19" max="19" width="16" style="54" bestFit="1" customWidth="1"/>
    <col min="20" max="20" width="20.5703125" style="54" bestFit="1" customWidth="1"/>
    <col min="21" max="21" width="27.85546875" style="54" bestFit="1" customWidth="1"/>
    <col min="22" max="22" width="28.140625" style="54" bestFit="1" customWidth="1"/>
    <col min="23" max="24" width="28.7109375" style="54" bestFit="1" customWidth="1"/>
    <col min="25" max="25" width="29.140625" style="54" bestFit="1" customWidth="1"/>
    <col min="26" max="26" width="28.7109375" style="54" bestFit="1" customWidth="1"/>
    <col min="27" max="27" width="23.140625" style="54" bestFit="1" customWidth="1"/>
    <col min="28" max="28" width="23.5703125" style="54" bestFit="1" customWidth="1"/>
    <col min="29" max="29" width="23.140625" style="54" bestFit="1" customWidth="1"/>
    <col min="30" max="30" width="18.85546875" style="54" bestFit="1" customWidth="1"/>
    <col min="31" max="31" width="20.42578125" style="54" bestFit="1" customWidth="1"/>
    <col min="32" max="32" width="18.85546875" style="54" bestFit="1" customWidth="1"/>
    <col min="33" max="33" width="10.140625" style="54" bestFit="1" customWidth="1"/>
    <col min="34" max="34" width="12.5703125" style="54" bestFit="1" customWidth="1"/>
    <col min="35" max="35" width="14.5703125" style="53" bestFit="1" customWidth="1"/>
    <col min="36" max="36" width="15.5703125" style="50" bestFit="1" customWidth="1"/>
    <col min="37" max="37" width="9" style="50" bestFit="1" customWidth="1"/>
    <col min="38" max="38" width="11.42578125" style="51" bestFit="1" customWidth="1"/>
    <col min="39" max="39" width="14.7109375" style="54" bestFit="1" customWidth="1"/>
    <col min="40" max="40" width="15.5703125" style="54" bestFit="1" customWidth="1"/>
    <col min="41" max="41" width="16.85546875" style="50" bestFit="1" customWidth="1"/>
    <col min="42" max="42" width="18.42578125" style="50" bestFit="1" customWidth="1"/>
    <col min="43" max="43" width="17" style="53" bestFit="1" customWidth="1"/>
    <col min="44" max="16384" width="14.5703125" style="50"/>
  </cols>
  <sheetData>
    <row r="1" spans="1:43" s="87" customFormat="1" x14ac:dyDescent="0.2">
      <c r="A1" s="87" t="s">
        <v>37</v>
      </c>
      <c r="B1" s="87" t="s">
        <v>38</v>
      </c>
      <c r="C1" s="87" t="s">
        <v>39</v>
      </c>
      <c r="D1" s="87" t="s">
        <v>40</v>
      </c>
      <c r="E1" s="87" t="s">
        <v>41</v>
      </c>
      <c r="F1" s="87" t="s">
        <v>42</v>
      </c>
      <c r="G1" s="87" t="s">
        <v>43</v>
      </c>
      <c r="H1" s="87" t="s">
        <v>44</v>
      </c>
      <c r="I1" s="87" t="s">
        <v>45</v>
      </c>
      <c r="J1" s="87" t="s">
        <v>46</v>
      </c>
      <c r="K1" s="87" t="s">
        <v>47</v>
      </c>
      <c r="L1" s="87" t="s">
        <v>48</v>
      </c>
      <c r="M1" s="88" t="s">
        <v>49</v>
      </c>
      <c r="N1" s="87" t="s">
        <v>50</v>
      </c>
      <c r="O1" s="88" t="s">
        <v>51</v>
      </c>
      <c r="P1" s="89" t="s">
        <v>52</v>
      </c>
      <c r="Q1" s="89" t="s">
        <v>53</v>
      </c>
      <c r="R1" s="89" t="s">
        <v>54</v>
      </c>
      <c r="S1" s="89" t="s">
        <v>55</v>
      </c>
      <c r="T1" s="89" t="s">
        <v>56</v>
      </c>
      <c r="U1" s="89" t="s">
        <v>57</v>
      </c>
      <c r="V1" s="89" t="s">
        <v>58</v>
      </c>
      <c r="W1" s="89" t="s">
        <v>59</v>
      </c>
      <c r="X1" s="89" t="s">
        <v>60</v>
      </c>
      <c r="Y1" s="89" t="s">
        <v>61</v>
      </c>
      <c r="Z1" s="89" t="s">
        <v>62</v>
      </c>
      <c r="AA1" s="89" t="s">
        <v>63</v>
      </c>
      <c r="AB1" s="89" t="s">
        <v>64</v>
      </c>
      <c r="AC1" s="89" t="s">
        <v>65</v>
      </c>
      <c r="AD1" s="89" t="s">
        <v>66</v>
      </c>
      <c r="AE1" s="89" t="s">
        <v>67</v>
      </c>
      <c r="AF1" s="89" t="s">
        <v>68</v>
      </c>
      <c r="AG1" s="89" t="s">
        <v>69</v>
      </c>
      <c r="AH1" s="89" t="s">
        <v>70</v>
      </c>
      <c r="AI1" s="90" t="s">
        <v>71</v>
      </c>
      <c r="AJ1" s="87" t="s">
        <v>72</v>
      </c>
      <c r="AK1" s="87" t="s">
        <v>73</v>
      </c>
      <c r="AL1" s="88" t="s">
        <v>74</v>
      </c>
      <c r="AM1" s="89" t="s">
        <v>75</v>
      </c>
      <c r="AN1" s="89" t="s">
        <v>76</v>
      </c>
      <c r="AO1" s="87" t="s">
        <v>77</v>
      </c>
      <c r="AP1" s="87" t="s">
        <v>78</v>
      </c>
      <c r="AQ1" s="90" t="s">
        <v>79</v>
      </c>
    </row>
    <row r="2" spans="1:43" x14ac:dyDescent="0.2"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M2" s="52"/>
      <c r="AN2" s="52"/>
    </row>
    <row r="3" spans="1:43" x14ac:dyDescent="0.2"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M3" s="52"/>
      <c r="AN3" s="52"/>
    </row>
    <row r="4" spans="1:43" x14ac:dyDescent="0.2"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M4" s="52"/>
      <c r="AN4" s="52"/>
    </row>
    <row r="5" spans="1:43" x14ac:dyDescent="0.2"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M5" s="52"/>
      <c r="AN5" s="52"/>
    </row>
    <row r="6" spans="1:43" x14ac:dyDescent="0.2"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M6" s="52"/>
      <c r="AN6" s="52"/>
    </row>
    <row r="7" spans="1:43" x14ac:dyDescent="0.2"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M7" s="52"/>
      <c r="AN7" s="52"/>
    </row>
    <row r="8" spans="1:43" x14ac:dyDescent="0.2"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M8" s="52"/>
      <c r="AN8" s="52"/>
    </row>
    <row r="9" spans="1:43" x14ac:dyDescent="0.2"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M9" s="52"/>
      <c r="AN9" s="52"/>
    </row>
    <row r="10" spans="1:43" x14ac:dyDescent="0.2"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M10" s="52"/>
      <c r="AN10" s="52"/>
    </row>
    <row r="11" spans="1:43" x14ac:dyDescent="0.2"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M11" s="52"/>
      <c r="AN11" s="52"/>
    </row>
    <row r="12" spans="1:43" x14ac:dyDescent="0.2"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M12" s="52"/>
      <c r="AN12" s="52"/>
    </row>
    <row r="13" spans="1:43" x14ac:dyDescent="0.2"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M13" s="52"/>
      <c r="AN13" s="52"/>
    </row>
    <row r="14" spans="1:43" x14ac:dyDescent="0.2"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M14" s="52"/>
      <c r="AN14" s="52"/>
    </row>
    <row r="15" spans="1:43" x14ac:dyDescent="0.2"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M15" s="52"/>
      <c r="AN15" s="52"/>
    </row>
    <row r="16" spans="1:43" x14ac:dyDescent="0.2"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M16" s="52"/>
      <c r="AN16" s="52"/>
    </row>
    <row r="17" spans="16:40" x14ac:dyDescent="0.2"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M17" s="52"/>
      <c r="AN17" s="52"/>
    </row>
    <row r="18" spans="16:40" x14ac:dyDescent="0.2"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M18" s="52"/>
      <c r="AN18" s="52"/>
    </row>
    <row r="19" spans="16:40" x14ac:dyDescent="0.2"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M19" s="52"/>
      <c r="AN19" s="52"/>
    </row>
    <row r="20" spans="16:40" x14ac:dyDescent="0.2"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M20" s="52"/>
      <c r="AN20" s="52"/>
    </row>
    <row r="21" spans="16:40" x14ac:dyDescent="0.2"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M21" s="52"/>
      <c r="AN21" s="52"/>
    </row>
    <row r="22" spans="16:40" x14ac:dyDescent="0.2"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M22" s="52"/>
      <c r="AN22" s="52"/>
    </row>
    <row r="23" spans="16:40" x14ac:dyDescent="0.2"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M23" s="52"/>
      <c r="AN23" s="52"/>
    </row>
    <row r="24" spans="16:40" x14ac:dyDescent="0.2"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M24" s="52"/>
      <c r="AN24" s="52"/>
    </row>
    <row r="25" spans="16:40" x14ac:dyDescent="0.2"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M25" s="52"/>
      <c r="AN25" s="52"/>
    </row>
    <row r="26" spans="16:40" x14ac:dyDescent="0.2"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M26" s="52"/>
      <c r="AN26" s="52"/>
    </row>
    <row r="27" spans="16:40" x14ac:dyDescent="0.2"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M27" s="52"/>
      <c r="AN27" s="52"/>
    </row>
    <row r="28" spans="16:40" x14ac:dyDescent="0.2"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M28" s="52"/>
      <c r="AN28" s="52"/>
    </row>
    <row r="29" spans="16:40" x14ac:dyDescent="0.2"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M29" s="52"/>
      <c r="AN29" s="52"/>
    </row>
    <row r="30" spans="16:40" x14ac:dyDescent="0.2"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M30" s="52"/>
      <c r="AN30" s="52"/>
    </row>
    <row r="31" spans="16:40" x14ac:dyDescent="0.2"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M31" s="52"/>
      <c r="AN31" s="52"/>
    </row>
    <row r="32" spans="16:40" x14ac:dyDescent="0.2"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M32" s="52"/>
      <c r="AN32" s="52"/>
    </row>
    <row r="33" spans="16:40" x14ac:dyDescent="0.2"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M33" s="52"/>
      <c r="AN33" s="52"/>
    </row>
    <row r="34" spans="16:40" x14ac:dyDescent="0.2"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M34" s="52"/>
      <c r="AN34" s="52"/>
    </row>
    <row r="35" spans="16:40" x14ac:dyDescent="0.2"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M35" s="52"/>
      <c r="AN35" s="52"/>
    </row>
    <row r="36" spans="16:40" x14ac:dyDescent="0.2"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M36" s="52"/>
      <c r="AN36" s="52"/>
    </row>
    <row r="37" spans="16:40" x14ac:dyDescent="0.2"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M37" s="52"/>
      <c r="AN37" s="52"/>
    </row>
    <row r="38" spans="16:40" x14ac:dyDescent="0.2"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M38" s="52"/>
      <c r="AN38" s="52"/>
    </row>
    <row r="39" spans="16:40" x14ac:dyDescent="0.2"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M39" s="52"/>
      <c r="AN39" s="52"/>
    </row>
    <row r="40" spans="16:40" x14ac:dyDescent="0.2"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M40" s="52"/>
      <c r="AN40" s="52"/>
    </row>
    <row r="41" spans="16:40" x14ac:dyDescent="0.2"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M41" s="52"/>
      <c r="AN41" s="52"/>
    </row>
    <row r="42" spans="16:40" x14ac:dyDescent="0.2"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M42" s="52"/>
      <c r="AN42" s="52"/>
    </row>
    <row r="43" spans="16:40" x14ac:dyDescent="0.2"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M43" s="52"/>
      <c r="AN43" s="52"/>
    </row>
    <row r="44" spans="16:40" x14ac:dyDescent="0.2"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M44" s="52"/>
      <c r="AN44" s="52"/>
    </row>
    <row r="45" spans="16:40" x14ac:dyDescent="0.2"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M45" s="52"/>
      <c r="AN45" s="52"/>
    </row>
    <row r="46" spans="16:40" x14ac:dyDescent="0.2"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M46" s="52"/>
      <c r="AN46" s="52"/>
    </row>
    <row r="47" spans="16:40" x14ac:dyDescent="0.2"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M47" s="52"/>
      <c r="AN47" s="52"/>
    </row>
    <row r="48" spans="16:40" x14ac:dyDescent="0.2"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M48" s="52"/>
      <c r="AN48" s="52"/>
    </row>
    <row r="49" spans="16:40" x14ac:dyDescent="0.2"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M49" s="52"/>
      <c r="AN49" s="52"/>
    </row>
    <row r="50" spans="16:40" x14ac:dyDescent="0.2"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M50" s="52"/>
      <c r="AN50" s="52"/>
    </row>
    <row r="51" spans="16:40" x14ac:dyDescent="0.2"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M51" s="52"/>
      <c r="AN51" s="52"/>
    </row>
    <row r="52" spans="16:40" x14ac:dyDescent="0.2"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M52" s="52"/>
      <c r="AN52" s="52"/>
    </row>
    <row r="53" spans="16:40" x14ac:dyDescent="0.2"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M53" s="52"/>
      <c r="AN53" s="52"/>
    </row>
    <row r="54" spans="16:40" x14ac:dyDescent="0.2"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M54" s="52"/>
      <c r="AN54" s="52"/>
    </row>
    <row r="55" spans="16:40" x14ac:dyDescent="0.2"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M55" s="52"/>
      <c r="AN55" s="52"/>
    </row>
    <row r="56" spans="16:40" x14ac:dyDescent="0.2"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M56" s="52"/>
      <c r="AN56" s="52"/>
    </row>
    <row r="57" spans="16:40" x14ac:dyDescent="0.2"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M57" s="52"/>
      <c r="AN57" s="52"/>
    </row>
    <row r="58" spans="16:40" x14ac:dyDescent="0.2"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M58" s="52"/>
      <c r="AN58" s="52"/>
    </row>
    <row r="59" spans="16:40" x14ac:dyDescent="0.2"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M59" s="52"/>
      <c r="AN59" s="52"/>
    </row>
    <row r="60" spans="16:40" x14ac:dyDescent="0.2"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M60" s="52"/>
      <c r="AN60" s="52"/>
    </row>
    <row r="61" spans="16:40" x14ac:dyDescent="0.2"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M61" s="52"/>
      <c r="AN61" s="52"/>
    </row>
    <row r="62" spans="16:40" x14ac:dyDescent="0.2"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M62" s="52"/>
      <c r="AN62" s="52"/>
    </row>
    <row r="63" spans="16:40" x14ac:dyDescent="0.2"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M63" s="52"/>
      <c r="AN63" s="52"/>
    </row>
    <row r="64" spans="16:40" x14ac:dyDescent="0.2"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M64" s="52"/>
      <c r="AN64" s="52"/>
    </row>
    <row r="65" spans="16:40" x14ac:dyDescent="0.2"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M65" s="52"/>
      <c r="AN65" s="52"/>
    </row>
    <row r="66" spans="16:40" x14ac:dyDescent="0.2"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M66" s="52"/>
      <c r="AN66" s="52"/>
    </row>
    <row r="67" spans="16:40" x14ac:dyDescent="0.2"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M67" s="52"/>
      <c r="AN67" s="52"/>
    </row>
    <row r="68" spans="16:40" x14ac:dyDescent="0.2"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M68" s="52"/>
      <c r="AN68" s="52"/>
    </row>
    <row r="69" spans="16:40" x14ac:dyDescent="0.2"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M69" s="52"/>
      <c r="AN69" s="52"/>
    </row>
    <row r="70" spans="16:40" x14ac:dyDescent="0.2"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M70" s="52"/>
      <c r="AN70" s="52"/>
    </row>
    <row r="71" spans="16:40" x14ac:dyDescent="0.2"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M71" s="52"/>
      <c r="AN71" s="52"/>
    </row>
    <row r="72" spans="16:40" x14ac:dyDescent="0.2"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M72" s="52"/>
      <c r="AN72" s="52"/>
    </row>
    <row r="73" spans="16:40" x14ac:dyDescent="0.2"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M73" s="52"/>
      <c r="AN73" s="52"/>
    </row>
    <row r="74" spans="16:40" x14ac:dyDescent="0.2"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M74" s="52"/>
      <c r="AN74" s="52"/>
    </row>
    <row r="75" spans="16:40" x14ac:dyDescent="0.2"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M75" s="52"/>
      <c r="AN75" s="52"/>
    </row>
    <row r="76" spans="16:40" x14ac:dyDescent="0.2"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M76" s="52"/>
      <c r="AN76" s="52"/>
    </row>
    <row r="77" spans="16:40" x14ac:dyDescent="0.2"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M77" s="52"/>
      <c r="AN77" s="52"/>
    </row>
    <row r="78" spans="16:40" x14ac:dyDescent="0.2"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M78" s="52"/>
      <c r="AN78" s="52"/>
    </row>
    <row r="79" spans="16:40" x14ac:dyDescent="0.2"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M79" s="52"/>
      <c r="AN79" s="52"/>
    </row>
    <row r="80" spans="16:40" x14ac:dyDescent="0.2"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M80" s="52"/>
      <c r="AN80" s="52"/>
    </row>
    <row r="81" spans="16:40" x14ac:dyDescent="0.2"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M81" s="52"/>
      <c r="AN81" s="52"/>
    </row>
    <row r="82" spans="16:40" x14ac:dyDescent="0.2"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M82" s="52"/>
      <c r="AN82" s="52"/>
    </row>
    <row r="83" spans="16:40" x14ac:dyDescent="0.2"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M83" s="52"/>
      <c r="AN83" s="52"/>
    </row>
    <row r="84" spans="16:40" x14ac:dyDescent="0.2"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M84" s="52"/>
      <c r="AN84" s="52"/>
    </row>
    <row r="85" spans="16:40" x14ac:dyDescent="0.2"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M85" s="52"/>
      <c r="AN85" s="52"/>
    </row>
    <row r="86" spans="16:40" x14ac:dyDescent="0.2"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M86" s="52"/>
      <c r="AN86" s="52"/>
    </row>
    <row r="87" spans="16:40" x14ac:dyDescent="0.2"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M87" s="52"/>
      <c r="AN87" s="52"/>
    </row>
    <row r="88" spans="16:40" x14ac:dyDescent="0.2"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M88" s="52"/>
      <c r="AN88" s="52"/>
    </row>
    <row r="89" spans="16:40" x14ac:dyDescent="0.2"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M89" s="52"/>
      <c r="AN89" s="52"/>
    </row>
    <row r="90" spans="16:40" x14ac:dyDescent="0.2"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M90" s="52"/>
      <c r="AN90" s="52"/>
    </row>
    <row r="91" spans="16:40" x14ac:dyDescent="0.2"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M91" s="52"/>
      <c r="AN91" s="52"/>
    </row>
    <row r="92" spans="16:40" x14ac:dyDescent="0.2"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M92" s="52"/>
      <c r="AN92" s="52"/>
    </row>
    <row r="93" spans="16:40" x14ac:dyDescent="0.2"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M93" s="52"/>
      <c r="AN93" s="52"/>
    </row>
    <row r="94" spans="16:40" x14ac:dyDescent="0.2"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M94" s="52"/>
      <c r="AN94" s="52"/>
    </row>
    <row r="95" spans="16:40" x14ac:dyDescent="0.2"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M95" s="52"/>
      <c r="AN95" s="52"/>
    </row>
    <row r="96" spans="16:40" x14ac:dyDescent="0.2"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M96" s="52"/>
      <c r="AN96" s="52"/>
    </row>
    <row r="97" spans="16:40" x14ac:dyDescent="0.2"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M97" s="52"/>
      <c r="AN97" s="52"/>
    </row>
    <row r="98" spans="16:40" x14ac:dyDescent="0.2"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M98" s="52"/>
      <c r="AN98" s="52"/>
    </row>
    <row r="99" spans="16:40" x14ac:dyDescent="0.2"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M99" s="52"/>
      <c r="AN99" s="52"/>
    </row>
    <row r="100" spans="16:40" x14ac:dyDescent="0.2"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M100" s="52"/>
      <c r="AN100" s="52"/>
    </row>
    <row r="101" spans="16:40" x14ac:dyDescent="0.2"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M101" s="52"/>
      <c r="AN101" s="52"/>
    </row>
    <row r="102" spans="16:40" x14ac:dyDescent="0.2"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M102" s="52"/>
      <c r="AN102" s="52"/>
    </row>
    <row r="103" spans="16:40" x14ac:dyDescent="0.2"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M103" s="52"/>
      <c r="AN103" s="52"/>
    </row>
    <row r="104" spans="16:40" x14ac:dyDescent="0.2"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M104" s="52"/>
      <c r="AN104" s="52"/>
    </row>
    <row r="105" spans="16:40" x14ac:dyDescent="0.2"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M105" s="52"/>
      <c r="AN105" s="52"/>
    </row>
    <row r="106" spans="16:40" x14ac:dyDescent="0.2"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M106" s="52"/>
      <c r="AN106" s="52"/>
    </row>
    <row r="107" spans="16:40" x14ac:dyDescent="0.2"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M107" s="52"/>
      <c r="AN107" s="52"/>
    </row>
    <row r="108" spans="16:40" x14ac:dyDescent="0.2"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M108" s="52"/>
      <c r="AN108" s="52"/>
    </row>
    <row r="109" spans="16:40" x14ac:dyDescent="0.2"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M109" s="52"/>
      <c r="AN109" s="52"/>
    </row>
    <row r="110" spans="16:40" x14ac:dyDescent="0.2"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M110" s="52"/>
      <c r="AN110" s="52"/>
    </row>
    <row r="111" spans="16:40" x14ac:dyDescent="0.2"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M111" s="52"/>
      <c r="AN111" s="52"/>
    </row>
    <row r="112" spans="16:40" x14ac:dyDescent="0.2"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M112" s="52"/>
      <c r="AN112" s="52"/>
    </row>
    <row r="113" spans="16:40" x14ac:dyDescent="0.2"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M113" s="52"/>
      <c r="AN113" s="52"/>
    </row>
    <row r="114" spans="16:40" x14ac:dyDescent="0.2"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M114" s="52"/>
      <c r="AN114" s="52"/>
    </row>
    <row r="115" spans="16:40" x14ac:dyDescent="0.2"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M115" s="52"/>
      <c r="AN115" s="52"/>
    </row>
    <row r="116" spans="16:40" x14ac:dyDescent="0.2"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M116" s="52"/>
      <c r="AN116" s="52"/>
    </row>
    <row r="117" spans="16:40" x14ac:dyDescent="0.2"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M117" s="52"/>
      <c r="AN117" s="52"/>
    </row>
    <row r="118" spans="16:40" x14ac:dyDescent="0.2"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M118" s="52"/>
      <c r="AN118" s="52"/>
    </row>
    <row r="119" spans="16:40" x14ac:dyDescent="0.2"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M119" s="52"/>
      <c r="AN119" s="52"/>
    </row>
    <row r="120" spans="16:40" x14ac:dyDescent="0.2"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M120" s="52"/>
      <c r="AN120" s="52"/>
    </row>
    <row r="121" spans="16:40" x14ac:dyDescent="0.2"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M121" s="52"/>
      <c r="AN121" s="52"/>
    </row>
    <row r="122" spans="16:40" x14ac:dyDescent="0.2"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M122" s="52"/>
      <c r="AN122" s="52"/>
    </row>
    <row r="123" spans="16:40" x14ac:dyDescent="0.2"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M123" s="52"/>
      <c r="AN123" s="52"/>
    </row>
    <row r="124" spans="16:40" x14ac:dyDescent="0.2"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M124" s="52"/>
      <c r="AN124" s="52"/>
    </row>
    <row r="125" spans="16:40" x14ac:dyDescent="0.2"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M125" s="52"/>
      <c r="AN125" s="52"/>
    </row>
    <row r="126" spans="16:40" x14ac:dyDescent="0.2"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M126" s="52"/>
      <c r="AN126" s="52"/>
    </row>
    <row r="127" spans="16:40" x14ac:dyDescent="0.2"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M127" s="52"/>
      <c r="AN127" s="52"/>
    </row>
    <row r="128" spans="16:40" x14ac:dyDescent="0.2"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M128" s="52"/>
      <c r="AN128" s="52"/>
    </row>
    <row r="129" spans="16:40" x14ac:dyDescent="0.2"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M129" s="52"/>
      <c r="AN129" s="52"/>
    </row>
    <row r="130" spans="16:40" x14ac:dyDescent="0.2"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M130" s="52"/>
      <c r="AN130" s="52"/>
    </row>
    <row r="131" spans="16:40" x14ac:dyDescent="0.2"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M131" s="52"/>
      <c r="AN131" s="52"/>
    </row>
    <row r="132" spans="16:40" x14ac:dyDescent="0.2"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M132" s="52"/>
      <c r="AN132" s="52"/>
    </row>
    <row r="133" spans="16:40" x14ac:dyDescent="0.2"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M133" s="52"/>
      <c r="AN133" s="52"/>
    </row>
    <row r="134" spans="16:40" x14ac:dyDescent="0.2"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M134" s="52"/>
      <c r="AN134" s="52"/>
    </row>
    <row r="135" spans="16:40" x14ac:dyDescent="0.2"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M135" s="52"/>
      <c r="AN135" s="52"/>
    </row>
    <row r="136" spans="16:40" x14ac:dyDescent="0.2"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M136" s="52"/>
      <c r="AN136" s="52"/>
    </row>
    <row r="137" spans="16:40" x14ac:dyDescent="0.2"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M137" s="52"/>
      <c r="AN137" s="52"/>
    </row>
    <row r="138" spans="16:40" x14ac:dyDescent="0.2"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M138" s="52"/>
      <c r="AN138" s="52"/>
    </row>
    <row r="139" spans="16:40" x14ac:dyDescent="0.2"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M139" s="52"/>
      <c r="AN139" s="52"/>
    </row>
    <row r="140" spans="16:40" x14ac:dyDescent="0.2"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M140" s="52"/>
      <c r="AN140" s="52"/>
    </row>
    <row r="141" spans="16:40" x14ac:dyDescent="0.2"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M141" s="52"/>
      <c r="AN141" s="52"/>
    </row>
    <row r="142" spans="16:40" x14ac:dyDescent="0.2"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M142" s="52"/>
      <c r="AN142" s="52"/>
    </row>
    <row r="143" spans="16:40" x14ac:dyDescent="0.2"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M143" s="52"/>
      <c r="AN143" s="52"/>
    </row>
    <row r="144" spans="16:40" x14ac:dyDescent="0.2"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M144" s="52"/>
      <c r="AN144" s="52"/>
    </row>
    <row r="145" spans="16:40" x14ac:dyDescent="0.2"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M145" s="52"/>
      <c r="AN145" s="52"/>
    </row>
    <row r="146" spans="16:40" x14ac:dyDescent="0.2"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M146" s="52"/>
      <c r="AN146" s="52"/>
    </row>
    <row r="147" spans="16:40" x14ac:dyDescent="0.2"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M147" s="52"/>
      <c r="AN147" s="52"/>
    </row>
    <row r="148" spans="16:40" x14ac:dyDescent="0.2"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M148" s="52"/>
      <c r="AN148" s="52"/>
    </row>
    <row r="149" spans="16:40" x14ac:dyDescent="0.2"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M149" s="52"/>
      <c r="AN149" s="52"/>
    </row>
    <row r="150" spans="16:40" x14ac:dyDescent="0.2"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M150" s="52"/>
      <c r="AN150" s="52"/>
    </row>
    <row r="151" spans="16:40" x14ac:dyDescent="0.2"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M151" s="52"/>
      <c r="AN151" s="52"/>
    </row>
    <row r="152" spans="16:40" x14ac:dyDescent="0.2"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M152" s="52"/>
      <c r="AN152" s="52"/>
    </row>
    <row r="153" spans="16:40" x14ac:dyDescent="0.2"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M153" s="52"/>
      <c r="AN153" s="52"/>
    </row>
    <row r="154" spans="16:40" x14ac:dyDescent="0.2"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M154" s="52"/>
      <c r="AN154" s="52"/>
    </row>
    <row r="155" spans="16:40" x14ac:dyDescent="0.2"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M155" s="52"/>
      <c r="AN155" s="52"/>
    </row>
    <row r="156" spans="16:40" x14ac:dyDescent="0.2"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M156" s="52"/>
      <c r="AN156" s="52"/>
    </row>
    <row r="157" spans="16:40" x14ac:dyDescent="0.2"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M157" s="52"/>
      <c r="AN157" s="52"/>
    </row>
    <row r="158" spans="16:40" x14ac:dyDescent="0.2"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M158" s="52"/>
      <c r="AN158" s="52"/>
    </row>
    <row r="159" spans="16:40" x14ac:dyDescent="0.2"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M159" s="52"/>
      <c r="AN159" s="52"/>
    </row>
    <row r="160" spans="16:40" x14ac:dyDescent="0.2"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M160" s="52"/>
      <c r="AN160" s="52"/>
    </row>
    <row r="161" spans="16:40" x14ac:dyDescent="0.2"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M161" s="52"/>
      <c r="AN161" s="52"/>
    </row>
    <row r="162" spans="16:40" x14ac:dyDescent="0.2"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M162" s="52"/>
      <c r="AN162" s="52"/>
    </row>
    <row r="163" spans="16:40" x14ac:dyDescent="0.2"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M163" s="52"/>
      <c r="AN163" s="52"/>
    </row>
    <row r="164" spans="16:40" x14ac:dyDescent="0.2"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M164" s="52"/>
      <c r="AN164" s="52"/>
    </row>
    <row r="165" spans="16:40" x14ac:dyDescent="0.2"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M165" s="52"/>
      <c r="AN165" s="52"/>
    </row>
    <row r="166" spans="16:40" x14ac:dyDescent="0.2"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M166" s="52"/>
      <c r="AN166" s="52"/>
    </row>
    <row r="167" spans="16:40" x14ac:dyDescent="0.2"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M167" s="52"/>
      <c r="AN167" s="52"/>
    </row>
    <row r="168" spans="16:40" x14ac:dyDescent="0.2"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M168" s="52"/>
      <c r="AN168" s="52"/>
    </row>
    <row r="169" spans="16:40" x14ac:dyDescent="0.2"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M169" s="52"/>
      <c r="AN169" s="52"/>
    </row>
    <row r="170" spans="16:40" x14ac:dyDescent="0.2"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M170" s="52"/>
      <c r="AN170" s="52"/>
    </row>
    <row r="171" spans="16:40" x14ac:dyDescent="0.2"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M171" s="52"/>
      <c r="AN171" s="52"/>
    </row>
    <row r="172" spans="16:40" x14ac:dyDescent="0.2"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M172" s="52"/>
      <c r="AN172" s="52"/>
    </row>
    <row r="173" spans="16:40" x14ac:dyDescent="0.2"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M173" s="52"/>
      <c r="AN173" s="52"/>
    </row>
    <row r="174" spans="16:40" x14ac:dyDescent="0.2"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M174" s="52"/>
      <c r="AN174" s="52"/>
    </row>
    <row r="175" spans="16:40" x14ac:dyDescent="0.2"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M175" s="52"/>
      <c r="AN175" s="52"/>
    </row>
    <row r="176" spans="16:40" x14ac:dyDescent="0.2"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M176" s="52"/>
      <c r="AN176" s="52"/>
    </row>
    <row r="177" spans="16:40" x14ac:dyDescent="0.2"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M177" s="52"/>
      <c r="AN177" s="52"/>
    </row>
    <row r="178" spans="16:40" x14ac:dyDescent="0.2"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M178" s="52"/>
      <c r="AN178" s="52"/>
    </row>
    <row r="179" spans="16:40" x14ac:dyDescent="0.2"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M179" s="52"/>
      <c r="AN179" s="52"/>
    </row>
    <row r="180" spans="16:40" x14ac:dyDescent="0.2"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M180" s="52"/>
      <c r="AN180" s="52"/>
    </row>
    <row r="181" spans="16:40" x14ac:dyDescent="0.2"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M181" s="52"/>
      <c r="AN181" s="52"/>
    </row>
    <row r="182" spans="16:40" x14ac:dyDescent="0.2"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M182" s="52"/>
      <c r="AN182" s="52"/>
    </row>
    <row r="183" spans="16:40" x14ac:dyDescent="0.2"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M183" s="52"/>
      <c r="AN183" s="52"/>
    </row>
    <row r="184" spans="16:40" x14ac:dyDescent="0.2"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M184" s="52"/>
      <c r="AN184" s="52"/>
    </row>
    <row r="185" spans="16:40" x14ac:dyDescent="0.2"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M185" s="52"/>
      <c r="AN185" s="52"/>
    </row>
    <row r="186" spans="16:40" x14ac:dyDescent="0.2"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M186" s="52"/>
      <c r="AN186" s="52"/>
    </row>
    <row r="187" spans="16:40" x14ac:dyDescent="0.2"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M187" s="52"/>
      <c r="AN187" s="52"/>
    </row>
    <row r="188" spans="16:40" x14ac:dyDescent="0.2"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M188" s="52"/>
      <c r="AN188" s="52"/>
    </row>
    <row r="189" spans="16:40" x14ac:dyDescent="0.2"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M189" s="52"/>
      <c r="AN189" s="52"/>
    </row>
    <row r="190" spans="16:40" x14ac:dyDescent="0.2"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M190" s="52"/>
      <c r="AN190" s="52"/>
    </row>
    <row r="191" spans="16:40" x14ac:dyDescent="0.2"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M191" s="52"/>
      <c r="AN191" s="52"/>
    </row>
    <row r="192" spans="16:40" x14ac:dyDescent="0.2"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M192" s="52"/>
      <c r="AN192" s="52"/>
    </row>
    <row r="193" spans="16:40" x14ac:dyDescent="0.2"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M193" s="52"/>
      <c r="AN193" s="52"/>
    </row>
    <row r="194" spans="16:40" x14ac:dyDescent="0.2"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M194" s="52"/>
      <c r="AN194" s="52"/>
    </row>
    <row r="195" spans="16:40" x14ac:dyDescent="0.2"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M195" s="52"/>
      <c r="AN195" s="52"/>
    </row>
    <row r="196" spans="16:40" x14ac:dyDescent="0.2"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M196" s="52"/>
      <c r="AN196" s="52"/>
    </row>
    <row r="197" spans="16:40" x14ac:dyDescent="0.2"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M197" s="52"/>
      <c r="AN197" s="52"/>
    </row>
    <row r="198" spans="16:40" x14ac:dyDescent="0.2"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M198" s="52"/>
      <c r="AN198" s="52"/>
    </row>
    <row r="199" spans="16:40" x14ac:dyDescent="0.2"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M199" s="52"/>
      <c r="AN199" s="52"/>
    </row>
    <row r="200" spans="16:40" x14ac:dyDescent="0.2"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M200" s="52"/>
      <c r="AN200" s="52"/>
    </row>
    <row r="201" spans="16:40" x14ac:dyDescent="0.2"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M201" s="52"/>
      <c r="AN201" s="52"/>
    </row>
    <row r="202" spans="16:40" x14ac:dyDescent="0.2"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M202" s="52"/>
      <c r="AN202" s="52"/>
    </row>
    <row r="203" spans="16:40" x14ac:dyDescent="0.2"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M203" s="52"/>
      <c r="AN203" s="52"/>
    </row>
    <row r="204" spans="16:40" x14ac:dyDescent="0.2"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M204" s="52"/>
      <c r="AN204" s="52"/>
    </row>
    <row r="205" spans="16:40" x14ac:dyDescent="0.2"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M205" s="52"/>
      <c r="AN205" s="52"/>
    </row>
    <row r="206" spans="16:40" x14ac:dyDescent="0.2"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M206" s="52"/>
      <c r="AN206" s="52"/>
    </row>
    <row r="207" spans="16:40" x14ac:dyDescent="0.2"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0"/>
      <c r="AL207" s="50"/>
      <c r="AM207" s="52"/>
      <c r="AN207" s="52"/>
    </row>
    <row r="208" spans="16:40" x14ac:dyDescent="0.2"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0"/>
      <c r="AL208" s="50"/>
      <c r="AM208" s="52"/>
      <c r="AN208" s="52"/>
    </row>
    <row r="209" spans="16:40" x14ac:dyDescent="0.2"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0"/>
      <c r="AL209" s="50"/>
      <c r="AM209" s="52"/>
      <c r="AN209" s="52"/>
    </row>
    <row r="210" spans="16:40" x14ac:dyDescent="0.2"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0"/>
      <c r="AL210" s="50"/>
      <c r="AM210" s="52"/>
      <c r="AN210" s="52"/>
    </row>
    <row r="211" spans="16:40" x14ac:dyDescent="0.2"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0"/>
      <c r="AL211" s="50"/>
      <c r="AM211" s="52"/>
      <c r="AN211" s="52"/>
    </row>
    <row r="212" spans="16:40" x14ac:dyDescent="0.2"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0"/>
      <c r="AL212" s="50"/>
      <c r="AM212" s="52"/>
      <c r="AN212" s="52"/>
    </row>
    <row r="213" spans="16:40" x14ac:dyDescent="0.2"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0"/>
      <c r="AL213" s="50"/>
      <c r="AM213" s="52"/>
      <c r="AN213" s="52"/>
    </row>
    <row r="214" spans="16:40" x14ac:dyDescent="0.2"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0"/>
      <c r="AL214" s="50"/>
      <c r="AM214" s="52"/>
      <c r="AN214" s="52"/>
    </row>
    <row r="215" spans="16:40" x14ac:dyDescent="0.2"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0"/>
      <c r="AL215" s="50"/>
      <c r="AM215" s="52"/>
      <c r="AN215" s="52"/>
    </row>
    <row r="216" spans="16:40" x14ac:dyDescent="0.2"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0"/>
      <c r="AL216" s="50"/>
      <c r="AM216" s="52"/>
      <c r="AN216" s="52"/>
    </row>
    <row r="217" spans="16:40" x14ac:dyDescent="0.2"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0"/>
      <c r="AL217" s="50"/>
      <c r="AM217" s="52"/>
      <c r="AN217" s="52"/>
    </row>
    <row r="218" spans="16:40" x14ac:dyDescent="0.2"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0"/>
      <c r="AL218" s="50"/>
      <c r="AM218" s="52"/>
      <c r="AN218" s="52"/>
    </row>
    <row r="219" spans="16:40" x14ac:dyDescent="0.2"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0"/>
      <c r="AL219" s="50"/>
      <c r="AM219" s="52"/>
      <c r="AN219" s="52"/>
    </row>
    <row r="220" spans="16:40" x14ac:dyDescent="0.2"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0"/>
      <c r="AL220" s="50"/>
      <c r="AM220" s="52"/>
      <c r="AN220" s="52"/>
    </row>
    <row r="221" spans="16:40" x14ac:dyDescent="0.2"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0"/>
      <c r="AL221" s="50"/>
      <c r="AM221" s="52"/>
      <c r="AN221" s="52"/>
    </row>
    <row r="222" spans="16:40" x14ac:dyDescent="0.2"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0"/>
      <c r="AL222" s="50"/>
      <c r="AM222" s="52"/>
      <c r="AN222" s="52"/>
    </row>
    <row r="223" spans="16:40" x14ac:dyDescent="0.2"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M223" s="52"/>
      <c r="AN223" s="52"/>
    </row>
    <row r="224" spans="16:40" x14ac:dyDescent="0.2"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M224" s="52"/>
      <c r="AN224" s="52"/>
    </row>
    <row r="225" spans="16:40" x14ac:dyDescent="0.2"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M225" s="52"/>
      <c r="AN225" s="52"/>
    </row>
    <row r="226" spans="16:40" x14ac:dyDescent="0.2"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M226" s="52"/>
      <c r="AN226" s="52"/>
    </row>
    <row r="227" spans="16:40" x14ac:dyDescent="0.2"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M227" s="52"/>
      <c r="AN227" s="52"/>
    </row>
    <row r="228" spans="16:40" x14ac:dyDescent="0.2"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M228" s="52"/>
      <c r="AN228" s="52"/>
    </row>
    <row r="229" spans="16:40" x14ac:dyDescent="0.2"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M229" s="52"/>
      <c r="AN229" s="52"/>
    </row>
    <row r="230" spans="16:40" x14ac:dyDescent="0.2"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M230" s="52"/>
      <c r="AN230" s="52"/>
    </row>
    <row r="231" spans="16:40" x14ac:dyDescent="0.2"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M231" s="52"/>
      <c r="AN231" s="52"/>
    </row>
    <row r="232" spans="16:40" x14ac:dyDescent="0.2"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M232" s="52"/>
      <c r="AN232" s="52"/>
    </row>
    <row r="233" spans="16:40" x14ac:dyDescent="0.2"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M233" s="52"/>
      <c r="AN233" s="52"/>
    </row>
    <row r="234" spans="16:40" x14ac:dyDescent="0.2"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M234" s="52"/>
      <c r="AN234" s="52"/>
    </row>
    <row r="235" spans="16:40" x14ac:dyDescent="0.2"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M235" s="52"/>
      <c r="AN235" s="52"/>
    </row>
    <row r="236" spans="16:40" x14ac:dyDescent="0.2"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M236" s="52"/>
      <c r="AN236" s="52"/>
    </row>
    <row r="237" spans="16:40" x14ac:dyDescent="0.2"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M237" s="52"/>
      <c r="AN237" s="52"/>
    </row>
    <row r="238" spans="16:40" x14ac:dyDescent="0.2"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M238" s="52"/>
      <c r="AN238" s="52"/>
    </row>
    <row r="239" spans="16:40" x14ac:dyDescent="0.2"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M239" s="52"/>
      <c r="AN239" s="52"/>
    </row>
    <row r="240" spans="16:40" x14ac:dyDescent="0.2"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M240" s="52"/>
      <c r="AN240" s="52"/>
    </row>
    <row r="241" spans="16:40" x14ac:dyDescent="0.2"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M241" s="52"/>
      <c r="AN241" s="52"/>
    </row>
    <row r="242" spans="16:40" x14ac:dyDescent="0.2"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M242" s="52"/>
      <c r="AN242" s="52"/>
    </row>
    <row r="243" spans="16:40" x14ac:dyDescent="0.2"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M243" s="52"/>
      <c r="AN243" s="52"/>
    </row>
    <row r="244" spans="16:40" x14ac:dyDescent="0.2"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M244" s="52"/>
      <c r="AN244" s="52"/>
    </row>
    <row r="245" spans="16:40" x14ac:dyDescent="0.2"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M245" s="52"/>
      <c r="AN245" s="52"/>
    </row>
    <row r="246" spans="16:40" x14ac:dyDescent="0.2"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M246" s="52"/>
      <c r="AN246" s="52"/>
    </row>
    <row r="247" spans="16:40" x14ac:dyDescent="0.2"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M247" s="52"/>
      <c r="AN247" s="52"/>
    </row>
    <row r="248" spans="16:40" x14ac:dyDescent="0.2"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M248" s="52"/>
      <c r="AN248" s="52"/>
    </row>
    <row r="249" spans="16:40" x14ac:dyDescent="0.2"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M249" s="52"/>
      <c r="AN249" s="52"/>
    </row>
    <row r="250" spans="16:40" x14ac:dyDescent="0.2"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M250" s="52"/>
      <c r="AN250" s="52"/>
    </row>
    <row r="251" spans="16:40" x14ac:dyDescent="0.2"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M251" s="52"/>
      <c r="AN251" s="52"/>
    </row>
    <row r="252" spans="16:40" x14ac:dyDescent="0.2"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M252" s="52"/>
      <c r="AN252" s="52"/>
    </row>
    <row r="253" spans="16:40" x14ac:dyDescent="0.2"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M253" s="52"/>
      <c r="AN253" s="52"/>
    </row>
    <row r="254" spans="16:40" x14ac:dyDescent="0.2"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M254" s="52"/>
      <c r="AN254" s="52"/>
    </row>
    <row r="255" spans="16:40" x14ac:dyDescent="0.2"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M255" s="52"/>
      <c r="AN255" s="52"/>
    </row>
    <row r="256" spans="16:40" x14ac:dyDescent="0.2"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M256" s="52"/>
      <c r="AN256" s="52"/>
    </row>
    <row r="257" spans="16:40" x14ac:dyDescent="0.2"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M257" s="52"/>
      <c r="AN257" s="52"/>
    </row>
    <row r="258" spans="16:40" x14ac:dyDescent="0.2"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M258" s="52"/>
      <c r="AN258" s="52"/>
    </row>
    <row r="259" spans="16:40" x14ac:dyDescent="0.2"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M259" s="52"/>
      <c r="AN259" s="52"/>
    </row>
    <row r="260" spans="16:40" x14ac:dyDescent="0.2"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M260" s="52"/>
      <c r="AN260" s="52"/>
    </row>
    <row r="261" spans="16:40" x14ac:dyDescent="0.2"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M261" s="52"/>
      <c r="AN261" s="52"/>
    </row>
    <row r="262" spans="16:40" x14ac:dyDescent="0.2"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M262" s="52"/>
      <c r="AN262" s="52"/>
    </row>
    <row r="263" spans="16:40" x14ac:dyDescent="0.2"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M263" s="52"/>
      <c r="AN263" s="52"/>
    </row>
    <row r="264" spans="16:40" x14ac:dyDescent="0.2"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M264" s="52"/>
      <c r="AN264" s="52"/>
    </row>
    <row r="265" spans="16:40" x14ac:dyDescent="0.2"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M265" s="52"/>
      <c r="AN265" s="52"/>
    </row>
    <row r="266" spans="16:40" x14ac:dyDescent="0.2"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M266" s="52"/>
      <c r="AN266" s="52"/>
    </row>
    <row r="267" spans="16:40" x14ac:dyDescent="0.2"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M267" s="52"/>
      <c r="AN267" s="52"/>
    </row>
    <row r="268" spans="16:40" x14ac:dyDescent="0.2"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M268" s="52"/>
      <c r="AN268" s="52"/>
    </row>
    <row r="269" spans="16:40" x14ac:dyDescent="0.2"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M269" s="52"/>
      <c r="AN269" s="52"/>
    </row>
    <row r="270" spans="16:40" x14ac:dyDescent="0.2"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M270" s="52"/>
      <c r="AN270" s="52"/>
    </row>
    <row r="271" spans="16:40" x14ac:dyDescent="0.2"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M271" s="52"/>
      <c r="AN271" s="52"/>
    </row>
    <row r="272" spans="16:40" x14ac:dyDescent="0.2"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M272" s="52"/>
      <c r="AN272" s="52"/>
    </row>
    <row r="273" spans="16:40" x14ac:dyDescent="0.2"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M273" s="52"/>
      <c r="AN273" s="52"/>
    </row>
    <row r="274" spans="16:40" x14ac:dyDescent="0.2"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M274" s="52"/>
      <c r="AN274" s="52"/>
    </row>
    <row r="275" spans="16:40" x14ac:dyDescent="0.2"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M275" s="52"/>
      <c r="AN275" s="52"/>
    </row>
    <row r="276" spans="16:40" x14ac:dyDescent="0.2"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M276" s="52"/>
      <c r="AN276" s="52"/>
    </row>
    <row r="277" spans="16:40" x14ac:dyDescent="0.2"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M277" s="52"/>
      <c r="AN277" s="52"/>
    </row>
    <row r="278" spans="16:40" x14ac:dyDescent="0.2"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M278" s="52"/>
      <c r="AN278" s="52"/>
    </row>
    <row r="279" spans="16:40" x14ac:dyDescent="0.2"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M279" s="52"/>
      <c r="AN279" s="52"/>
    </row>
    <row r="280" spans="16:40" x14ac:dyDescent="0.2"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M280" s="52"/>
      <c r="AN280" s="52"/>
    </row>
    <row r="281" spans="16:40" x14ac:dyDescent="0.2"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M281" s="52"/>
      <c r="AN281" s="52"/>
    </row>
    <row r="282" spans="16:40" x14ac:dyDescent="0.2"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M282" s="52"/>
      <c r="AN282" s="52"/>
    </row>
    <row r="283" spans="16:40" x14ac:dyDescent="0.2"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M283" s="52"/>
      <c r="AN283" s="52"/>
    </row>
    <row r="284" spans="16:40" x14ac:dyDescent="0.2"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M284" s="52"/>
      <c r="AN284" s="52"/>
    </row>
    <row r="285" spans="16:40" x14ac:dyDescent="0.2"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M285" s="52"/>
      <c r="AN285" s="52"/>
    </row>
    <row r="286" spans="16:40" x14ac:dyDescent="0.2"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M286" s="52"/>
      <c r="AN286" s="52"/>
    </row>
    <row r="287" spans="16:40" x14ac:dyDescent="0.2"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M287" s="52"/>
      <c r="AN287" s="52"/>
    </row>
    <row r="288" spans="16:40" x14ac:dyDescent="0.2"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M288" s="52"/>
      <c r="AN288" s="52"/>
    </row>
    <row r="289" spans="16:40" x14ac:dyDescent="0.2"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M289" s="52"/>
      <c r="AN289" s="52"/>
    </row>
    <row r="290" spans="16:40" x14ac:dyDescent="0.2"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M290" s="52"/>
      <c r="AN290" s="52"/>
    </row>
    <row r="291" spans="16:40" x14ac:dyDescent="0.2"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M291" s="52"/>
      <c r="AN291" s="52"/>
    </row>
    <row r="292" spans="16:40" x14ac:dyDescent="0.2"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M292" s="52"/>
      <c r="AN292" s="52"/>
    </row>
    <row r="293" spans="16:40" x14ac:dyDescent="0.2"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M293" s="52"/>
      <c r="AN293" s="52"/>
    </row>
    <row r="294" spans="16:40" x14ac:dyDescent="0.2"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M294" s="52"/>
      <c r="AN294" s="52"/>
    </row>
    <row r="295" spans="16:40" x14ac:dyDescent="0.2"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M295" s="52"/>
      <c r="AN295" s="52"/>
    </row>
    <row r="296" spans="16:40" x14ac:dyDescent="0.2"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M296" s="52"/>
      <c r="AN296" s="52"/>
    </row>
    <row r="297" spans="16:40" x14ac:dyDescent="0.2"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M297" s="52"/>
      <c r="AN297" s="52"/>
    </row>
    <row r="298" spans="16:40" x14ac:dyDescent="0.2"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M298" s="52"/>
      <c r="AN298" s="52"/>
    </row>
    <row r="299" spans="16:40" x14ac:dyDescent="0.2"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M299" s="52"/>
      <c r="AN299" s="52"/>
    </row>
    <row r="300" spans="16:40" x14ac:dyDescent="0.2"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M300" s="52"/>
      <c r="AN300" s="52"/>
    </row>
    <row r="301" spans="16:40" x14ac:dyDescent="0.2"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M301" s="52"/>
      <c r="AN301" s="52"/>
    </row>
    <row r="302" spans="16:40" x14ac:dyDescent="0.2"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M302" s="52"/>
      <c r="AN302" s="52"/>
    </row>
    <row r="303" spans="16:40" x14ac:dyDescent="0.2"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M303" s="52"/>
      <c r="AN303" s="52"/>
    </row>
    <row r="304" spans="16:40" x14ac:dyDescent="0.2"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M304" s="52"/>
      <c r="AN304" s="52"/>
    </row>
    <row r="305" spans="16:40" x14ac:dyDescent="0.2"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M305" s="52"/>
      <c r="AN305" s="52"/>
    </row>
    <row r="306" spans="16:40" x14ac:dyDescent="0.2"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M306" s="52"/>
      <c r="AN306" s="52"/>
    </row>
    <row r="307" spans="16:40" x14ac:dyDescent="0.2"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M307" s="52"/>
      <c r="AN307" s="52"/>
    </row>
    <row r="308" spans="16:40" x14ac:dyDescent="0.2"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M308" s="52"/>
      <c r="AN308" s="52"/>
    </row>
    <row r="309" spans="16:40" x14ac:dyDescent="0.2"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M309" s="52"/>
      <c r="AN309" s="52"/>
    </row>
    <row r="310" spans="16:40" x14ac:dyDescent="0.2"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M310" s="52"/>
      <c r="AN310" s="52"/>
    </row>
    <row r="311" spans="16:40" x14ac:dyDescent="0.2"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M311" s="52"/>
      <c r="AN311" s="52"/>
    </row>
    <row r="312" spans="16:40" x14ac:dyDescent="0.2"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M312" s="52"/>
      <c r="AN312" s="52"/>
    </row>
    <row r="313" spans="16:40" x14ac:dyDescent="0.2"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M313" s="52"/>
      <c r="AN313" s="52"/>
    </row>
    <row r="314" spans="16:40" x14ac:dyDescent="0.2"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M314" s="52"/>
      <c r="AN314" s="52"/>
    </row>
    <row r="315" spans="16:40" x14ac:dyDescent="0.2"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M315" s="52"/>
      <c r="AN315" s="52"/>
    </row>
    <row r="316" spans="16:40" x14ac:dyDescent="0.2"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M316" s="52"/>
      <c r="AN316" s="52"/>
    </row>
    <row r="317" spans="16:40" x14ac:dyDescent="0.2"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M317" s="52"/>
      <c r="AN317" s="52"/>
    </row>
    <row r="318" spans="16:40" x14ac:dyDescent="0.2"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M318" s="52"/>
      <c r="AN318" s="52"/>
    </row>
    <row r="319" spans="16:40" x14ac:dyDescent="0.2"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M319" s="52"/>
      <c r="AN319" s="52"/>
    </row>
    <row r="320" spans="16:40" x14ac:dyDescent="0.2"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M320" s="52"/>
      <c r="AN320" s="52"/>
    </row>
    <row r="321" spans="16:40" x14ac:dyDescent="0.2"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M321" s="52"/>
      <c r="AN321" s="52"/>
    </row>
    <row r="322" spans="16:40" x14ac:dyDescent="0.2"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M322" s="52"/>
      <c r="AN322" s="52"/>
    </row>
    <row r="323" spans="16:40" x14ac:dyDescent="0.2"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M323" s="52"/>
      <c r="AN323" s="52"/>
    </row>
    <row r="324" spans="16:40" x14ac:dyDescent="0.2"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M324" s="52"/>
      <c r="AN324" s="52"/>
    </row>
    <row r="325" spans="16:40" x14ac:dyDescent="0.2"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M325" s="52"/>
      <c r="AN325" s="52"/>
    </row>
    <row r="326" spans="16:40" x14ac:dyDescent="0.2"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M326" s="52"/>
      <c r="AN326" s="52"/>
    </row>
    <row r="327" spans="16:40" x14ac:dyDescent="0.2"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M327" s="52"/>
      <c r="AN327" s="52"/>
    </row>
    <row r="328" spans="16:40" x14ac:dyDescent="0.2"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M328" s="52"/>
      <c r="AN328" s="52"/>
    </row>
    <row r="329" spans="16:40" x14ac:dyDescent="0.2"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M329" s="52"/>
      <c r="AN329" s="52"/>
    </row>
    <row r="330" spans="16:40" x14ac:dyDescent="0.2"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M330" s="52"/>
      <c r="AN330" s="52"/>
    </row>
    <row r="331" spans="16:40" x14ac:dyDescent="0.2"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M331" s="52"/>
      <c r="AN331" s="52"/>
    </row>
    <row r="332" spans="16:40" x14ac:dyDescent="0.2"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M332" s="52"/>
      <c r="AN332" s="52"/>
    </row>
    <row r="333" spans="16:40" x14ac:dyDescent="0.2"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M333" s="52"/>
      <c r="AN333" s="52"/>
    </row>
    <row r="334" spans="16:40" x14ac:dyDescent="0.2"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M334" s="52"/>
      <c r="AN334" s="52"/>
    </row>
    <row r="335" spans="16:40" x14ac:dyDescent="0.2"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M335" s="52"/>
      <c r="AN335" s="52"/>
    </row>
    <row r="336" spans="16:40" x14ac:dyDescent="0.2"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M336" s="52"/>
      <c r="AN336" s="52"/>
    </row>
    <row r="337" spans="16:40" x14ac:dyDescent="0.2"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M337" s="52"/>
      <c r="AN337" s="52"/>
    </row>
    <row r="338" spans="16:40" x14ac:dyDescent="0.2"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M338" s="52"/>
      <c r="AN338" s="52"/>
    </row>
    <row r="339" spans="16:40" x14ac:dyDescent="0.2"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M339" s="52"/>
      <c r="AN339" s="52"/>
    </row>
    <row r="340" spans="16:40" x14ac:dyDescent="0.2"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M340" s="52"/>
      <c r="AN340" s="52"/>
    </row>
    <row r="341" spans="16:40" x14ac:dyDescent="0.2"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M341" s="52"/>
      <c r="AN341" s="52"/>
    </row>
    <row r="342" spans="16:40" x14ac:dyDescent="0.2"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M342" s="52"/>
      <c r="AN342" s="52"/>
    </row>
    <row r="343" spans="16:40" x14ac:dyDescent="0.2"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M343" s="52"/>
      <c r="AN343" s="52"/>
    </row>
    <row r="344" spans="16:40" x14ac:dyDescent="0.2"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M344" s="52"/>
      <c r="AN344" s="52"/>
    </row>
    <row r="345" spans="16:40" x14ac:dyDescent="0.2"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M345" s="52"/>
      <c r="AN345" s="52"/>
    </row>
    <row r="346" spans="16:40" x14ac:dyDescent="0.2"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M346" s="52"/>
      <c r="AN346" s="52"/>
    </row>
    <row r="347" spans="16:40" x14ac:dyDescent="0.2"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M347" s="52"/>
      <c r="AN347" s="52"/>
    </row>
    <row r="348" spans="16:40" x14ac:dyDescent="0.2"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M348" s="52"/>
      <c r="AN348" s="52"/>
    </row>
    <row r="349" spans="16:40" x14ac:dyDescent="0.2"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M349" s="52"/>
      <c r="AN349" s="52"/>
    </row>
    <row r="350" spans="16:40" x14ac:dyDescent="0.2"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M350" s="52"/>
      <c r="AN350" s="52"/>
    </row>
    <row r="351" spans="16:40" x14ac:dyDescent="0.2"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M351" s="52"/>
      <c r="AN351" s="52"/>
    </row>
    <row r="352" spans="16:40" x14ac:dyDescent="0.2"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M352" s="52"/>
      <c r="AN352" s="52"/>
    </row>
    <row r="353" spans="16:40" x14ac:dyDescent="0.2"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M353" s="52"/>
      <c r="AN353" s="52"/>
    </row>
    <row r="354" spans="16:40" x14ac:dyDescent="0.2"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M354" s="52"/>
      <c r="AN354" s="52"/>
    </row>
    <row r="355" spans="16:40" x14ac:dyDescent="0.2"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M355" s="52"/>
      <c r="AN355" s="52"/>
    </row>
    <row r="356" spans="16:40" x14ac:dyDescent="0.2"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M356" s="52"/>
      <c r="AN356" s="52"/>
    </row>
    <row r="357" spans="16:40" x14ac:dyDescent="0.2"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M357" s="52"/>
      <c r="AN357" s="52"/>
    </row>
    <row r="358" spans="16:40" x14ac:dyDescent="0.2"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M358" s="52"/>
      <c r="AN358" s="52"/>
    </row>
    <row r="359" spans="16:40" x14ac:dyDescent="0.2"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M359" s="52"/>
      <c r="AN359" s="52"/>
    </row>
    <row r="360" spans="16:40" x14ac:dyDescent="0.2"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M360" s="52"/>
      <c r="AN360" s="52"/>
    </row>
    <row r="361" spans="16:40" x14ac:dyDescent="0.2"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M361" s="52"/>
      <c r="AN361" s="52"/>
    </row>
    <row r="362" spans="16:40" x14ac:dyDescent="0.2"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M362" s="52"/>
      <c r="AN362" s="52"/>
    </row>
    <row r="363" spans="16:40" x14ac:dyDescent="0.2"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M363" s="52"/>
      <c r="AN363" s="52"/>
    </row>
    <row r="364" spans="16:40" x14ac:dyDescent="0.2"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M364" s="52"/>
      <c r="AN364" s="52"/>
    </row>
    <row r="365" spans="16:40" x14ac:dyDescent="0.2"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M365" s="52"/>
      <c r="AN365" s="52"/>
    </row>
    <row r="366" spans="16:40" x14ac:dyDescent="0.2"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M366" s="52"/>
      <c r="AN366" s="52"/>
    </row>
    <row r="367" spans="16:40" x14ac:dyDescent="0.2"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M367" s="52"/>
      <c r="AN367" s="52"/>
    </row>
    <row r="368" spans="16:40" x14ac:dyDescent="0.2"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M368" s="52"/>
      <c r="AN368" s="52"/>
    </row>
    <row r="369" spans="16:40" x14ac:dyDescent="0.2"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M369" s="52"/>
      <c r="AN369" s="52"/>
    </row>
    <row r="370" spans="16:40" x14ac:dyDescent="0.2"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M370" s="52"/>
      <c r="AN370" s="52"/>
    </row>
    <row r="371" spans="16:40" x14ac:dyDescent="0.2"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M371" s="52"/>
      <c r="AN371" s="52"/>
    </row>
    <row r="372" spans="16:40" x14ac:dyDescent="0.2"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M372" s="52"/>
      <c r="AN372" s="52"/>
    </row>
    <row r="373" spans="16:40" x14ac:dyDescent="0.2"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M373" s="52"/>
      <c r="AN373" s="52"/>
    </row>
    <row r="374" spans="16:40" x14ac:dyDescent="0.2"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M374" s="52"/>
      <c r="AN374" s="52"/>
    </row>
    <row r="375" spans="16:40" x14ac:dyDescent="0.2"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M375" s="52"/>
      <c r="AN375" s="52"/>
    </row>
    <row r="376" spans="16:40" x14ac:dyDescent="0.2"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M376" s="52"/>
      <c r="AN376" s="52"/>
    </row>
    <row r="377" spans="16:40" x14ac:dyDescent="0.2"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M377" s="52"/>
      <c r="AN377" s="52"/>
    </row>
    <row r="378" spans="16:40" x14ac:dyDescent="0.2"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M378" s="52"/>
      <c r="AN378" s="52"/>
    </row>
    <row r="379" spans="16:40" x14ac:dyDescent="0.2"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M379" s="52"/>
      <c r="AN379" s="52"/>
    </row>
    <row r="380" spans="16:40" x14ac:dyDescent="0.2"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M380" s="52"/>
      <c r="AN380" s="52"/>
    </row>
    <row r="381" spans="16:40" x14ac:dyDescent="0.2"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M381" s="52"/>
      <c r="AN381" s="52"/>
    </row>
    <row r="382" spans="16:40" x14ac:dyDescent="0.2"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M382" s="52"/>
      <c r="AN382" s="52"/>
    </row>
    <row r="383" spans="16:40" x14ac:dyDescent="0.2"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M383" s="52"/>
      <c r="AN383" s="52"/>
    </row>
    <row r="384" spans="16:40" x14ac:dyDescent="0.2"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M384" s="52"/>
      <c r="AN384" s="52"/>
    </row>
    <row r="385" spans="16:40" x14ac:dyDescent="0.2"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M385" s="52"/>
      <c r="AN385" s="52"/>
    </row>
    <row r="386" spans="16:40" x14ac:dyDescent="0.2"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M386" s="52"/>
      <c r="AN386" s="52"/>
    </row>
    <row r="387" spans="16:40" x14ac:dyDescent="0.2"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M387" s="52"/>
      <c r="AN387" s="52"/>
    </row>
    <row r="388" spans="16:40" x14ac:dyDescent="0.2"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M388" s="52"/>
      <c r="AN388" s="52"/>
    </row>
    <row r="389" spans="16:40" x14ac:dyDescent="0.2"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M389" s="52"/>
      <c r="AN389" s="52"/>
    </row>
    <row r="390" spans="16:40" x14ac:dyDescent="0.2"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M390" s="52"/>
      <c r="AN390" s="52"/>
    </row>
    <row r="391" spans="16:40" x14ac:dyDescent="0.2"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M391" s="52"/>
      <c r="AN391" s="52"/>
    </row>
    <row r="392" spans="16:40" x14ac:dyDescent="0.2"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M392" s="52"/>
      <c r="AN392" s="52"/>
    </row>
    <row r="393" spans="16:40" x14ac:dyDescent="0.2"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M393" s="52"/>
      <c r="AN393" s="52"/>
    </row>
    <row r="394" spans="16:40" x14ac:dyDescent="0.2"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M394" s="52"/>
      <c r="AN394" s="52"/>
    </row>
    <row r="395" spans="16:40" x14ac:dyDescent="0.2"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M395" s="52"/>
      <c r="AN395" s="52"/>
    </row>
    <row r="396" spans="16:40" x14ac:dyDescent="0.2"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M396" s="52"/>
      <c r="AN396" s="52"/>
    </row>
    <row r="397" spans="16:40" x14ac:dyDescent="0.2"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M397" s="52"/>
      <c r="AN397" s="52"/>
    </row>
    <row r="398" spans="16:40" x14ac:dyDescent="0.2"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M398" s="52"/>
      <c r="AN398" s="52"/>
    </row>
    <row r="399" spans="16:40" x14ac:dyDescent="0.2"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M399" s="52"/>
      <c r="AN399" s="52"/>
    </row>
    <row r="400" spans="16:40" x14ac:dyDescent="0.2"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M400" s="52"/>
      <c r="AN400" s="52"/>
    </row>
    <row r="401" spans="16:40" x14ac:dyDescent="0.2"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M401" s="52"/>
      <c r="AN401" s="52"/>
    </row>
    <row r="402" spans="16:40" x14ac:dyDescent="0.2"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M402" s="52"/>
      <c r="AN402" s="52"/>
    </row>
    <row r="403" spans="16:40" x14ac:dyDescent="0.2"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M403" s="52"/>
      <c r="AN403" s="52"/>
    </row>
    <row r="404" spans="16:40" x14ac:dyDescent="0.2"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M404" s="52"/>
      <c r="AN404" s="52"/>
    </row>
    <row r="405" spans="16:40" x14ac:dyDescent="0.2"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M405" s="52"/>
      <c r="AN405" s="52"/>
    </row>
    <row r="406" spans="16:40" x14ac:dyDescent="0.2"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M406" s="52"/>
      <c r="AN406" s="52"/>
    </row>
    <row r="407" spans="16:40" x14ac:dyDescent="0.2"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M407" s="52"/>
      <c r="AN407" s="52"/>
    </row>
    <row r="408" spans="16:40" x14ac:dyDescent="0.2"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M408" s="52"/>
      <c r="AN408" s="52"/>
    </row>
    <row r="409" spans="16:40" x14ac:dyDescent="0.2"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M409" s="52"/>
      <c r="AN409" s="52"/>
    </row>
    <row r="410" spans="16:40" x14ac:dyDescent="0.2"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M410" s="52"/>
      <c r="AN410" s="52"/>
    </row>
    <row r="411" spans="16:40" x14ac:dyDescent="0.2"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M411" s="52"/>
      <c r="AN411" s="52"/>
    </row>
    <row r="412" spans="16:40" x14ac:dyDescent="0.2"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M412" s="52"/>
      <c r="AN412" s="52"/>
    </row>
    <row r="413" spans="16:40" x14ac:dyDescent="0.2"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M413" s="52"/>
      <c r="AN413" s="52"/>
    </row>
    <row r="414" spans="16:40" x14ac:dyDescent="0.2"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M414" s="52"/>
      <c r="AN414" s="52"/>
    </row>
    <row r="415" spans="16:40" x14ac:dyDescent="0.2"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M415" s="52"/>
      <c r="AN415" s="52"/>
    </row>
    <row r="416" spans="16:40" x14ac:dyDescent="0.2"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M416" s="52"/>
      <c r="AN416" s="52"/>
    </row>
    <row r="417" spans="16:40" x14ac:dyDescent="0.2"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M417" s="52"/>
      <c r="AN417" s="52"/>
    </row>
    <row r="418" spans="16:40" x14ac:dyDescent="0.2"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M418" s="52"/>
      <c r="AN418" s="52"/>
    </row>
    <row r="419" spans="16:40" x14ac:dyDescent="0.2"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M419" s="52"/>
      <c r="AN419" s="52"/>
    </row>
    <row r="420" spans="16:40" x14ac:dyDescent="0.2"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M420" s="52"/>
      <c r="AN420" s="52"/>
    </row>
    <row r="421" spans="16:40" x14ac:dyDescent="0.2"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M421" s="52"/>
      <c r="AN421" s="52"/>
    </row>
    <row r="422" spans="16:40" x14ac:dyDescent="0.2"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M422" s="52"/>
      <c r="AN422" s="52"/>
    </row>
    <row r="423" spans="16:40" x14ac:dyDescent="0.2"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M423" s="52"/>
      <c r="AN423" s="52"/>
    </row>
    <row r="424" spans="16:40" x14ac:dyDescent="0.2"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M424" s="52"/>
      <c r="AN424" s="52"/>
    </row>
    <row r="425" spans="16:40" x14ac:dyDescent="0.2"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M425" s="52"/>
      <c r="AN425" s="52"/>
    </row>
    <row r="426" spans="16:40" x14ac:dyDescent="0.2"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M426" s="52"/>
      <c r="AN426" s="52"/>
    </row>
    <row r="427" spans="16:40" x14ac:dyDescent="0.2"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M427" s="52"/>
      <c r="AN427" s="52"/>
    </row>
    <row r="428" spans="16:40" x14ac:dyDescent="0.2"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M428" s="52"/>
      <c r="AN428" s="52"/>
    </row>
    <row r="429" spans="16:40" x14ac:dyDescent="0.2"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M429" s="52"/>
      <c r="AN429" s="52"/>
    </row>
    <row r="430" spans="16:40" x14ac:dyDescent="0.2"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M430" s="52"/>
      <c r="AN430" s="52"/>
    </row>
    <row r="431" spans="16:40" x14ac:dyDescent="0.2"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M431" s="52"/>
      <c r="AN431" s="52"/>
    </row>
    <row r="432" spans="16:40" x14ac:dyDescent="0.2"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M432" s="52"/>
      <c r="AN432" s="52"/>
    </row>
    <row r="433" spans="16:40" x14ac:dyDescent="0.2"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M433" s="52"/>
      <c r="AN433" s="52"/>
    </row>
    <row r="434" spans="16:40" x14ac:dyDescent="0.2"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M434" s="52"/>
      <c r="AN434" s="52"/>
    </row>
    <row r="435" spans="16:40" x14ac:dyDescent="0.2"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M435" s="52"/>
      <c r="AN435" s="52"/>
    </row>
    <row r="436" spans="16:40" x14ac:dyDescent="0.2"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M436" s="52"/>
      <c r="AN436" s="52"/>
    </row>
    <row r="437" spans="16:40" x14ac:dyDescent="0.2"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M437" s="52"/>
      <c r="AN437" s="52"/>
    </row>
    <row r="438" spans="16:40" x14ac:dyDescent="0.2"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M438" s="52"/>
      <c r="AN438" s="52"/>
    </row>
    <row r="439" spans="16:40" x14ac:dyDescent="0.2"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M439" s="52"/>
      <c r="AN439" s="52"/>
    </row>
    <row r="440" spans="16:40" x14ac:dyDescent="0.2"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M440" s="52"/>
      <c r="AN440" s="52"/>
    </row>
    <row r="441" spans="16:40" x14ac:dyDescent="0.2"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M441" s="52"/>
      <c r="AN441" s="52"/>
    </row>
    <row r="442" spans="16:40" x14ac:dyDescent="0.2"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M442" s="52"/>
      <c r="AN442" s="52"/>
    </row>
    <row r="443" spans="16:40" x14ac:dyDescent="0.2"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M443" s="52"/>
      <c r="AN443" s="52"/>
    </row>
    <row r="444" spans="16:40" x14ac:dyDescent="0.2"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M444" s="52"/>
      <c r="AN444" s="52"/>
    </row>
    <row r="445" spans="16:40" x14ac:dyDescent="0.2"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M445" s="52"/>
      <c r="AN445" s="52"/>
    </row>
    <row r="446" spans="16:40" x14ac:dyDescent="0.2"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M446" s="52"/>
      <c r="AN446" s="52"/>
    </row>
    <row r="447" spans="16:40" x14ac:dyDescent="0.2"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M447" s="52"/>
      <c r="AN447" s="52"/>
    </row>
    <row r="448" spans="16:40" x14ac:dyDescent="0.2"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M448" s="52"/>
      <c r="AN448" s="52"/>
    </row>
    <row r="449" spans="16:40" x14ac:dyDescent="0.2"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M449" s="52"/>
      <c r="AN449" s="52"/>
    </row>
    <row r="450" spans="16:40" x14ac:dyDescent="0.2"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M450" s="52"/>
      <c r="AN450" s="52"/>
    </row>
    <row r="451" spans="16:40" x14ac:dyDescent="0.2"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M451" s="52"/>
      <c r="AN451" s="52"/>
    </row>
    <row r="452" spans="16:40" x14ac:dyDescent="0.2"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M452" s="52"/>
      <c r="AN452" s="52"/>
    </row>
    <row r="453" spans="16:40" x14ac:dyDescent="0.2"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M453" s="52"/>
      <c r="AN453" s="52"/>
    </row>
    <row r="454" spans="16:40" x14ac:dyDescent="0.2"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M454" s="52"/>
      <c r="AN454" s="52"/>
    </row>
    <row r="455" spans="16:40" x14ac:dyDescent="0.2"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M455" s="52"/>
      <c r="AN455" s="52"/>
    </row>
    <row r="456" spans="16:40" x14ac:dyDescent="0.2"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M456" s="52"/>
      <c r="AN456" s="52"/>
    </row>
    <row r="457" spans="16:40" x14ac:dyDescent="0.2"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M457" s="52"/>
      <c r="AN457" s="52"/>
    </row>
    <row r="458" spans="16:40" x14ac:dyDescent="0.2"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M458" s="52"/>
      <c r="AN458" s="52"/>
    </row>
    <row r="459" spans="16:40" x14ac:dyDescent="0.2"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M459" s="52"/>
      <c r="AN459" s="52"/>
    </row>
    <row r="460" spans="16:40" x14ac:dyDescent="0.2"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M460" s="52"/>
      <c r="AN460" s="52"/>
    </row>
    <row r="461" spans="16:40" x14ac:dyDescent="0.2"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M461" s="52"/>
      <c r="AN461" s="52"/>
    </row>
    <row r="462" spans="16:40" x14ac:dyDescent="0.2"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M462" s="52"/>
      <c r="AN462" s="52"/>
    </row>
    <row r="463" spans="16:40" x14ac:dyDescent="0.2"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M463" s="52"/>
      <c r="AN463" s="52"/>
    </row>
    <row r="464" spans="16:40" x14ac:dyDescent="0.2"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M464" s="52"/>
      <c r="AN464" s="52"/>
    </row>
    <row r="465" spans="16:40" x14ac:dyDescent="0.2"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M465" s="52"/>
      <c r="AN465" s="52"/>
    </row>
    <row r="466" spans="16:40" x14ac:dyDescent="0.2"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M466" s="52"/>
      <c r="AN466" s="52"/>
    </row>
    <row r="467" spans="16:40" x14ac:dyDescent="0.2"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M467" s="52"/>
      <c r="AN467" s="52"/>
    </row>
    <row r="468" spans="16:40" x14ac:dyDescent="0.2"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M468" s="52"/>
      <c r="AN468" s="52"/>
    </row>
    <row r="469" spans="16:40" x14ac:dyDescent="0.2"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M469" s="52"/>
      <c r="AN469" s="52"/>
    </row>
    <row r="470" spans="16:40" x14ac:dyDescent="0.2"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M470" s="52"/>
      <c r="AN470" s="52"/>
    </row>
    <row r="471" spans="16:40" x14ac:dyDescent="0.2"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M471" s="52"/>
      <c r="AN471" s="52"/>
    </row>
    <row r="472" spans="16:40" x14ac:dyDescent="0.2"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M472" s="52"/>
      <c r="AN472" s="52"/>
    </row>
    <row r="473" spans="16:40" x14ac:dyDescent="0.2"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M473" s="52"/>
      <c r="AN473" s="52"/>
    </row>
    <row r="474" spans="16:40" x14ac:dyDescent="0.2"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M474" s="52"/>
      <c r="AN474" s="52"/>
    </row>
    <row r="475" spans="16:40" x14ac:dyDescent="0.2"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M475" s="52"/>
      <c r="AN475" s="52"/>
    </row>
    <row r="476" spans="16:40" x14ac:dyDescent="0.2"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M476" s="52"/>
      <c r="AN476" s="52"/>
    </row>
    <row r="477" spans="16:40" x14ac:dyDescent="0.2"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M477" s="52"/>
      <c r="AN477" s="52"/>
    </row>
    <row r="478" spans="16:40" x14ac:dyDescent="0.2"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M478" s="52"/>
      <c r="AN478" s="52"/>
    </row>
    <row r="479" spans="16:40" x14ac:dyDescent="0.2"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M479" s="52"/>
      <c r="AN479" s="52"/>
    </row>
    <row r="480" spans="16:40" x14ac:dyDescent="0.2"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M480" s="52"/>
      <c r="AN480" s="52"/>
    </row>
    <row r="481" spans="16:40" x14ac:dyDescent="0.2"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M481" s="52"/>
      <c r="AN481" s="52"/>
    </row>
    <row r="482" spans="16:40" x14ac:dyDescent="0.2"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M482" s="52"/>
      <c r="AN482" s="52"/>
    </row>
    <row r="483" spans="16:40" x14ac:dyDescent="0.2"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M483" s="52"/>
      <c r="AN483" s="52"/>
    </row>
    <row r="484" spans="16:40" x14ac:dyDescent="0.2"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M484" s="52"/>
      <c r="AN484" s="52"/>
    </row>
    <row r="485" spans="16:40" x14ac:dyDescent="0.2"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M485" s="52"/>
      <c r="AN485" s="52"/>
    </row>
    <row r="486" spans="16:40" x14ac:dyDescent="0.2"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M486" s="52"/>
      <c r="AN486" s="52"/>
    </row>
    <row r="487" spans="16:40" x14ac:dyDescent="0.2"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M487" s="52"/>
      <c r="AN487" s="52"/>
    </row>
    <row r="488" spans="16:40" x14ac:dyDescent="0.2"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M488" s="52"/>
      <c r="AN488" s="52"/>
    </row>
    <row r="489" spans="16:40" x14ac:dyDescent="0.2"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M489" s="52"/>
      <c r="AN489" s="52"/>
    </row>
    <row r="490" spans="16:40" x14ac:dyDescent="0.2"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M490" s="52"/>
      <c r="AN490" s="52"/>
    </row>
    <row r="491" spans="16:40" x14ac:dyDescent="0.2"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M491" s="52"/>
      <c r="AN491" s="52"/>
    </row>
    <row r="492" spans="16:40" x14ac:dyDescent="0.2"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M492" s="52"/>
      <c r="AN492" s="52"/>
    </row>
    <row r="493" spans="16:40" x14ac:dyDescent="0.2"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M493" s="52"/>
      <c r="AN493" s="52"/>
    </row>
    <row r="494" spans="16:40" x14ac:dyDescent="0.2"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M494" s="52"/>
      <c r="AN494" s="52"/>
    </row>
    <row r="495" spans="16:40" x14ac:dyDescent="0.2"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M495" s="52"/>
      <c r="AN495" s="52"/>
    </row>
    <row r="496" spans="16:40" x14ac:dyDescent="0.2"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M496" s="52"/>
      <c r="AN496" s="52"/>
    </row>
    <row r="497" spans="16:40" x14ac:dyDescent="0.2"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M497" s="52"/>
      <c r="AN497" s="52"/>
    </row>
    <row r="498" spans="16:40" x14ac:dyDescent="0.2"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M498" s="52"/>
      <c r="AN498" s="52"/>
    </row>
    <row r="499" spans="16:40" x14ac:dyDescent="0.2"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M499" s="52"/>
      <c r="AN499" s="52"/>
    </row>
    <row r="500" spans="16:40" x14ac:dyDescent="0.2"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M500" s="52"/>
      <c r="AN500" s="52"/>
    </row>
    <row r="501" spans="16:40" x14ac:dyDescent="0.2"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M501" s="52"/>
      <c r="AN501" s="52"/>
    </row>
    <row r="502" spans="16:40" x14ac:dyDescent="0.2"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M502" s="52"/>
      <c r="AN502" s="52"/>
    </row>
    <row r="503" spans="16:40" x14ac:dyDescent="0.2"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M503" s="52"/>
      <c r="AN503" s="52"/>
    </row>
    <row r="504" spans="16:40" x14ac:dyDescent="0.2"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M504" s="52"/>
      <c r="AN504" s="52"/>
    </row>
    <row r="505" spans="16:40" x14ac:dyDescent="0.2"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M505" s="52"/>
      <c r="AN505" s="52"/>
    </row>
    <row r="506" spans="16:40" x14ac:dyDescent="0.2"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M506" s="52"/>
      <c r="AN506" s="52"/>
    </row>
    <row r="507" spans="16:40" x14ac:dyDescent="0.2"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M507" s="52"/>
      <c r="AN507" s="52"/>
    </row>
    <row r="508" spans="16:40" x14ac:dyDescent="0.2"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M508" s="52"/>
      <c r="AN508" s="52"/>
    </row>
    <row r="509" spans="16:40" x14ac:dyDescent="0.2"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M509" s="52"/>
      <c r="AN509" s="52"/>
    </row>
    <row r="510" spans="16:40" x14ac:dyDescent="0.2"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M510" s="52"/>
      <c r="AN510" s="52"/>
    </row>
    <row r="511" spans="16:40" x14ac:dyDescent="0.2"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M511" s="52"/>
      <c r="AN511" s="52"/>
    </row>
    <row r="512" spans="16:40" x14ac:dyDescent="0.2"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M512" s="52"/>
      <c r="AN512" s="52"/>
    </row>
    <row r="513" spans="16:40" x14ac:dyDescent="0.2"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M513" s="52"/>
      <c r="AN513" s="52"/>
    </row>
    <row r="514" spans="16:40" x14ac:dyDescent="0.2"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M514" s="52"/>
      <c r="AN514" s="52"/>
    </row>
    <row r="515" spans="16:40" x14ac:dyDescent="0.2"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M515" s="52"/>
      <c r="AN515" s="52"/>
    </row>
    <row r="516" spans="16:40" x14ac:dyDescent="0.2"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M516" s="52"/>
      <c r="AN516" s="52"/>
    </row>
    <row r="517" spans="16:40" x14ac:dyDescent="0.2"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M517" s="52"/>
      <c r="AN517" s="52"/>
    </row>
    <row r="518" spans="16:40" x14ac:dyDescent="0.2"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M518" s="52"/>
      <c r="AN518" s="52"/>
    </row>
    <row r="519" spans="16:40" x14ac:dyDescent="0.2"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M519" s="52"/>
      <c r="AN519" s="52"/>
    </row>
    <row r="520" spans="16:40" x14ac:dyDescent="0.2"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M520" s="52"/>
      <c r="AN520" s="52"/>
    </row>
    <row r="521" spans="16:40" x14ac:dyDescent="0.2"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M521" s="52"/>
      <c r="AN521" s="52"/>
    </row>
    <row r="522" spans="16:40" x14ac:dyDescent="0.2"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M522" s="52"/>
      <c r="AN522" s="52"/>
    </row>
    <row r="523" spans="16:40" x14ac:dyDescent="0.2"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M523" s="52"/>
      <c r="AN523" s="52"/>
    </row>
    <row r="524" spans="16:40" x14ac:dyDescent="0.2"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M524" s="52"/>
      <c r="AN524" s="52"/>
    </row>
    <row r="525" spans="16:40" x14ac:dyDescent="0.2"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M525" s="52"/>
      <c r="AN525" s="52"/>
    </row>
    <row r="526" spans="16:40" x14ac:dyDescent="0.2"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M526" s="52"/>
      <c r="AN526" s="52"/>
    </row>
    <row r="527" spans="16:40" x14ac:dyDescent="0.2"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M527" s="52"/>
      <c r="AN527" s="52"/>
    </row>
    <row r="528" spans="16:40" x14ac:dyDescent="0.2"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M528" s="52"/>
      <c r="AN528" s="52"/>
    </row>
    <row r="529" spans="16:40" x14ac:dyDescent="0.2"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M529" s="52"/>
      <c r="AN529" s="52"/>
    </row>
    <row r="530" spans="16:40" x14ac:dyDescent="0.2"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M530" s="52"/>
      <c r="AN530" s="52"/>
    </row>
    <row r="531" spans="16:40" x14ac:dyDescent="0.2"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M531" s="52"/>
      <c r="AN531" s="52"/>
    </row>
    <row r="532" spans="16:40" x14ac:dyDescent="0.2"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M532" s="52"/>
      <c r="AN532" s="52"/>
    </row>
    <row r="533" spans="16:40" x14ac:dyDescent="0.2"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M533" s="52"/>
      <c r="AN533" s="52"/>
    </row>
    <row r="534" spans="16:40" x14ac:dyDescent="0.2"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M534" s="52"/>
      <c r="AN534" s="52"/>
    </row>
    <row r="535" spans="16:40" x14ac:dyDescent="0.2"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M535" s="52"/>
      <c r="AN535" s="52"/>
    </row>
    <row r="536" spans="16:40" x14ac:dyDescent="0.2"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M536" s="52"/>
      <c r="AN536" s="52"/>
    </row>
    <row r="537" spans="16:40" x14ac:dyDescent="0.2"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M537" s="52"/>
      <c r="AN537" s="52"/>
    </row>
    <row r="538" spans="16:40" x14ac:dyDescent="0.2"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M538" s="52"/>
      <c r="AN538" s="52"/>
    </row>
    <row r="539" spans="16:40" x14ac:dyDescent="0.2"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M539" s="52"/>
      <c r="AN539" s="52"/>
    </row>
    <row r="540" spans="16:40" x14ac:dyDescent="0.2"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M540" s="52"/>
      <c r="AN540" s="52"/>
    </row>
    <row r="541" spans="16:40" x14ac:dyDescent="0.2"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M541" s="52"/>
      <c r="AN541" s="52"/>
    </row>
    <row r="542" spans="16:40" x14ac:dyDescent="0.2"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M542" s="52"/>
      <c r="AN542" s="52"/>
    </row>
    <row r="543" spans="16:40" x14ac:dyDescent="0.2"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M543" s="52"/>
      <c r="AN543" s="52"/>
    </row>
    <row r="544" spans="16:40" x14ac:dyDescent="0.2"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M544" s="52"/>
      <c r="AN544" s="52"/>
    </row>
    <row r="545" spans="16:40" x14ac:dyDescent="0.2"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M545" s="52"/>
      <c r="AN545" s="52"/>
    </row>
    <row r="546" spans="16:40" x14ac:dyDescent="0.2"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M546" s="52"/>
      <c r="AN546" s="52"/>
    </row>
    <row r="547" spans="16:40" x14ac:dyDescent="0.2"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M547" s="52"/>
      <c r="AN547" s="52"/>
    </row>
    <row r="548" spans="16:40" x14ac:dyDescent="0.2"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M548" s="52"/>
      <c r="AN548" s="52"/>
    </row>
    <row r="549" spans="16:40" x14ac:dyDescent="0.2"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M549" s="52"/>
      <c r="AN549" s="52"/>
    </row>
    <row r="550" spans="16:40" x14ac:dyDescent="0.2"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M550" s="52"/>
      <c r="AN550" s="52"/>
    </row>
    <row r="551" spans="16:40" x14ac:dyDescent="0.2"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M551" s="52"/>
      <c r="AN551" s="52"/>
    </row>
    <row r="552" spans="16:40" x14ac:dyDescent="0.2"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M552" s="52"/>
      <c r="AN552" s="52"/>
    </row>
    <row r="553" spans="16:40" x14ac:dyDescent="0.2"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M553" s="52"/>
      <c r="AN553" s="52"/>
    </row>
    <row r="554" spans="16:40" x14ac:dyDescent="0.2"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M554" s="52"/>
      <c r="AN554" s="52"/>
    </row>
    <row r="555" spans="16:40" x14ac:dyDescent="0.2"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M555" s="52"/>
      <c r="AN555" s="52"/>
    </row>
    <row r="556" spans="16:40" x14ac:dyDescent="0.2"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M556" s="52"/>
      <c r="AN556" s="52"/>
    </row>
    <row r="557" spans="16:40" x14ac:dyDescent="0.2"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M557" s="52"/>
      <c r="AN557" s="52"/>
    </row>
    <row r="558" spans="16:40" x14ac:dyDescent="0.2"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M558" s="52"/>
      <c r="AN558" s="52"/>
    </row>
    <row r="559" spans="16:40" x14ac:dyDescent="0.2"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M559" s="52"/>
      <c r="AN559" s="52"/>
    </row>
    <row r="560" spans="16:40" x14ac:dyDescent="0.2"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M560" s="52"/>
      <c r="AN560" s="52"/>
    </row>
    <row r="561" spans="16:40" x14ac:dyDescent="0.2"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M561" s="52"/>
      <c r="AN561" s="52"/>
    </row>
    <row r="562" spans="16:40" x14ac:dyDescent="0.2"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M562" s="52"/>
      <c r="AN562" s="52"/>
    </row>
    <row r="563" spans="16:40" x14ac:dyDescent="0.2"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M563" s="52"/>
      <c r="AN563" s="52"/>
    </row>
    <row r="564" spans="16:40" x14ac:dyDescent="0.2"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M564" s="52"/>
      <c r="AN564" s="52"/>
    </row>
    <row r="565" spans="16:40" x14ac:dyDescent="0.2"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M565" s="52"/>
      <c r="AN565" s="52"/>
    </row>
    <row r="566" spans="16:40" x14ac:dyDescent="0.2"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M566" s="52"/>
      <c r="AN566" s="52"/>
    </row>
    <row r="567" spans="16:40" x14ac:dyDescent="0.2"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M567" s="52"/>
      <c r="AN567" s="52"/>
    </row>
    <row r="568" spans="16:40" x14ac:dyDescent="0.2"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M568" s="52"/>
      <c r="AN568" s="52"/>
    </row>
    <row r="569" spans="16:40" x14ac:dyDescent="0.2"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M569" s="52"/>
      <c r="AN569" s="52"/>
    </row>
    <row r="570" spans="16:40" x14ac:dyDescent="0.2"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M570" s="52"/>
      <c r="AN570" s="52"/>
    </row>
    <row r="571" spans="16:40" x14ac:dyDescent="0.2"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M571" s="52"/>
      <c r="AN571" s="52"/>
    </row>
    <row r="572" spans="16:40" x14ac:dyDescent="0.2"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M572" s="52"/>
      <c r="AN572" s="52"/>
    </row>
    <row r="573" spans="16:40" x14ac:dyDescent="0.2"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M573" s="52"/>
      <c r="AN573" s="52"/>
    </row>
    <row r="574" spans="16:40" x14ac:dyDescent="0.2"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M574" s="52"/>
      <c r="AN574" s="52"/>
    </row>
    <row r="575" spans="16:40" x14ac:dyDescent="0.2"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M575" s="52"/>
      <c r="AN575" s="52"/>
    </row>
    <row r="576" spans="16:40" x14ac:dyDescent="0.2"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M576" s="52"/>
      <c r="AN576" s="52"/>
    </row>
    <row r="577" spans="16:40" x14ac:dyDescent="0.2"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M577" s="52"/>
      <c r="AN577" s="52"/>
    </row>
    <row r="578" spans="16:40" x14ac:dyDescent="0.2"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M578" s="52"/>
      <c r="AN578" s="52"/>
    </row>
    <row r="579" spans="16:40" x14ac:dyDescent="0.2"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M579" s="52"/>
      <c r="AN579" s="52"/>
    </row>
    <row r="580" spans="16:40" x14ac:dyDescent="0.2"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M580" s="52"/>
      <c r="AN580" s="52"/>
    </row>
    <row r="581" spans="16:40" x14ac:dyDescent="0.2"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M581" s="52"/>
      <c r="AN581" s="52"/>
    </row>
    <row r="582" spans="16:40" x14ac:dyDescent="0.2"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M582" s="52"/>
      <c r="AN582" s="52"/>
    </row>
    <row r="583" spans="16:40" x14ac:dyDescent="0.2"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M583" s="52"/>
      <c r="AN583" s="52"/>
    </row>
    <row r="584" spans="16:40" x14ac:dyDescent="0.2"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M584" s="52"/>
      <c r="AN584" s="52"/>
    </row>
    <row r="585" spans="16:40" x14ac:dyDescent="0.2"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M585" s="52"/>
      <c r="AN585" s="52"/>
    </row>
    <row r="586" spans="16:40" x14ac:dyDescent="0.2"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M586" s="52"/>
      <c r="AN586" s="52"/>
    </row>
    <row r="587" spans="16:40" x14ac:dyDescent="0.2"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M587" s="52"/>
      <c r="AN587" s="52"/>
    </row>
    <row r="588" spans="16:40" x14ac:dyDescent="0.2"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M588" s="52"/>
      <c r="AN588" s="52"/>
    </row>
    <row r="589" spans="16:40" x14ac:dyDescent="0.2"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M589" s="52"/>
      <c r="AN589" s="52"/>
    </row>
    <row r="590" spans="16:40" x14ac:dyDescent="0.2"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M590" s="52"/>
      <c r="AN590" s="52"/>
    </row>
    <row r="591" spans="16:40" x14ac:dyDescent="0.2"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M591" s="52"/>
      <c r="AN591" s="52"/>
    </row>
    <row r="592" spans="16:40" x14ac:dyDescent="0.2"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M592" s="52"/>
      <c r="AN592" s="52"/>
    </row>
    <row r="593" spans="16:40" x14ac:dyDescent="0.2"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M593" s="52"/>
      <c r="AN593" s="52"/>
    </row>
    <row r="594" spans="16:40" x14ac:dyDescent="0.2"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M594" s="52"/>
      <c r="AN594" s="52"/>
    </row>
    <row r="595" spans="16:40" x14ac:dyDescent="0.2"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M595" s="52"/>
      <c r="AN595" s="52"/>
    </row>
    <row r="596" spans="16:40" x14ac:dyDescent="0.2"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M596" s="52"/>
      <c r="AN596" s="52"/>
    </row>
    <row r="597" spans="16:40" x14ac:dyDescent="0.2"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M597" s="52"/>
      <c r="AN597" s="52"/>
    </row>
    <row r="598" spans="16:40" x14ac:dyDescent="0.2"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M598" s="52"/>
      <c r="AN598" s="52"/>
    </row>
    <row r="599" spans="16:40" x14ac:dyDescent="0.2"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M599" s="52"/>
      <c r="AN599" s="52"/>
    </row>
    <row r="600" spans="16:40" x14ac:dyDescent="0.2"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M600" s="52"/>
      <c r="AN600" s="52"/>
    </row>
    <row r="601" spans="16:40" x14ac:dyDescent="0.2"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M601" s="52"/>
      <c r="AN601" s="52"/>
    </row>
    <row r="602" spans="16:40" x14ac:dyDescent="0.2"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M602" s="52"/>
      <c r="AN602" s="52"/>
    </row>
    <row r="603" spans="16:40" x14ac:dyDescent="0.2"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M603" s="52"/>
      <c r="AN603" s="52"/>
    </row>
    <row r="604" spans="16:40" x14ac:dyDescent="0.2"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M604" s="52"/>
      <c r="AN604" s="52"/>
    </row>
    <row r="605" spans="16:40" x14ac:dyDescent="0.2"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M605" s="52"/>
      <c r="AN605" s="52"/>
    </row>
    <row r="606" spans="16:40" x14ac:dyDescent="0.2"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M606" s="52"/>
      <c r="AN606" s="52"/>
    </row>
    <row r="607" spans="16:40" x14ac:dyDescent="0.2"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M607" s="52"/>
      <c r="AN607" s="52"/>
    </row>
    <row r="608" spans="16:40" x14ac:dyDescent="0.2"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M608" s="52"/>
      <c r="AN608" s="52"/>
    </row>
    <row r="609" spans="16:40" x14ac:dyDescent="0.2"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M609" s="52"/>
      <c r="AN609" s="52"/>
    </row>
    <row r="610" spans="16:40" x14ac:dyDescent="0.2"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M610" s="52"/>
      <c r="AN610" s="52"/>
    </row>
    <row r="611" spans="16:40" x14ac:dyDescent="0.2"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M611" s="52"/>
      <c r="AN611" s="52"/>
    </row>
    <row r="612" spans="16:40" x14ac:dyDescent="0.2"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M612" s="52"/>
      <c r="AN612" s="52"/>
    </row>
    <row r="613" spans="16:40" x14ac:dyDescent="0.2"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M613" s="52"/>
      <c r="AN613" s="52"/>
    </row>
    <row r="614" spans="16:40" x14ac:dyDescent="0.2"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M614" s="52"/>
      <c r="AN614" s="52"/>
    </row>
    <row r="615" spans="16:40" x14ac:dyDescent="0.2"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M615" s="52"/>
      <c r="AN615" s="52"/>
    </row>
    <row r="616" spans="16:40" x14ac:dyDescent="0.2"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M616" s="52"/>
      <c r="AN616" s="52"/>
    </row>
    <row r="617" spans="16:40" x14ac:dyDescent="0.2"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M617" s="52"/>
      <c r="AN617" s="52"/>
    </row>
    <row r="618" spans="16:40" x14ac:dyDescent="0.2"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M618" s="52"/>
      <c r="AN618" s="52"/>
    </row>
    <row r="619" spans="16:40" x14ac:dyDescent="0.2"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M619" s="52"/>
      <c r="AN619" s="52"/>
    </row>
    <row r="620" spans="16:40" x14ac:dyDescent="0.2"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M620" s="52"/>
      <c r="AN620" s="52"/>
    </row>
    <row r="621" spans="16:40" x14ac:dyDescent="0.2"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M621" s="52"/>
      <c r="AN621" s="52"/>
    </row>
    <row r="622" spans="16:40" x14ac:dyDescent="0.2"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M622" s="52"/>
      <c r="AN622" s="52"/>
    </row>
    <row r="623" spans="16:40" x14ac:dyDescent="0.2"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M623" s="52"/>
      <c r="AN623" s="52"/>
    </row>
    <row r="624" spans="16:40" x14ac:dyDescent="0.2"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M624" s="52"/>
      <c r="AN624" s="52"/>
    </row>
    <row r="625" spans="16:40" x14ac:dyDescent="0.2"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M625" s="52"/>
      <c r="AN625" s="52"/>
    </row>
    <row r="626" spans="16:40" x14ac:dyDescent="0.2"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M626" s="52"/>
      <c r="AN626" s="52"/>
    </row>
    <row r="627" spans="16:40" x14ac:dyDescent="0.2"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M627" s="52"/>
      <c r="AN627" s="52"/>
    </row>
    <row r="628" spans="16:40" x14ac:dyDescent="0.2"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M628" s="52"/>
      <c r="AN628" s="52"/>
    </row>
    <row r="629" spans="16:40" x14ac:dyDescent="0.2"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M629" s="52"/>
      <c r="AN629" s="52"/>
    </row>
    <row r="630" spans="16:40" x14ac:dyDescent="0.2"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M630" s="52"/>
      <c r="AN630" s="52"/>
    </row>
    <row r="631" spans="16:40" x14ac:dyDescent="0.2"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M631" s="52"/>
      <c r="AN631" s="52"/>
    </row>
    <row r="632" spans="16:40" x14ac:dyDescent="0.2"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M632" s="52"/>
      <c r="AN632" s="52"/>
    </row>
    <row r="633" spans="16:40" x14ac:dyDescent="0.2"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M633" s="52"/>
      <c r="AN633" s="52"/>
    </row>
    <row r="634" spans="16:40" x14ac:dyDescent="0.2"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M634" s="52"/>
      <c r="AN634" s="52"/>
    </row>
    <row r="635" spans="16:40" x14ac:dyDescent="0.2"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M635" s="52"/>
      <c r="AN635" s="52"/>
    </row>
    <row r="636" spans="16:40" x14ac:dyDescent="0.2"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M636" s="52"/>
      <c r="AN636" s="52"/>
    </row>
    <row r="637" spans="16:40" x14ac:dyDescent="0.2"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M637" s="52"/>
      <c r="AN637" s="52"/>
    </row>
    <row r="638" spans="16:40" x14ac:dyDescent="0.2"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M638" s="52"/>
      <c r="AN638" s="52"/>
    </row>
    <row r="639" spans="16:40" x14ac:dyDescent="0.2"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M639" s="52"/>
      <c r="AN639" s="52"/>
    </row>
    <row r="640" spans="16:40" x14ac:dyDescent="0.2"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M640" s="52"/>
      <c r="AN640" s="52"/>
    </row>
    <row r="641" spans="16:40" x14ac:dyDescent="0.2"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M641" s="52"/>
      <c r="AN641" s="52"/>
    </row>
    <row r="642" spans="16:40" x14ac:dyDescent="0.2"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M642" s="52"/>
      <c r="AN642" s="52"/>
    </row>
    <row r="643" spans="16:40" x14ac:dyDescent="0.2"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M643" s="52"/>
      <c r="AN643" s="52"/>
    </row>
    <row r="644" spans="16:40" x14ac:dyDescent="0.2"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M644" s="52"/>
      <c r="AN644" s="52"/>
    </row>
    <row r="645" spans="16:40" x14ac:dyDescent="0.2"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M645" s="52"/>
      <c r="AN645" s="52"/>
    </row>
    <row r="646" spans="16:40" x14ac:dyDescent="0.2"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M646" s="52"/>
      <c r="AN646" s="52"/>
    </row>
    <row r="647" spans="16:40" x14ac:dyDescent="0.2"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M647" s="52"/>
      <c r="AN647" s="52"/>
    </row>
    <row r="648" spans="16:40" x14ac:dyDescent="0.2"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M648" s="52"/>
      <c r="AN648" s="52"/>
    </row>
    <row r="649" spans="16:40" x14ac:dyDescent="0.2"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M649" s="52"/>
      <c r="AN649" s="52"/>
    </row>
    <row r="650" spans="16:40" x14ac:dyDescent="0.2"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M650" s="52"/>
      <c r="AN650" s="52"/>
    </row>
    <row r="651" spans="16:40" x14ac:dyDescent="0.2"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M651" s="52"/>
      <c r="AN651" s="52"/>
    </row>
    <row r="652" spans="16:40" x14ac:dyDescent="0.2"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M652" s="52"/>
      <c r="AN652" s="52"/>
    </row>
    <row r="653" spans="16:40" x14ac:dyDescent="0.2"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M653" s="52"/>
      <c r="AN653" s="52"/>
    </row>
    <row r="654" spans="16:40" x14ac:dyDescent="0.2"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M654" s="52"/>
      <c r="AN654" s="52"/>
    </row>
    <row r="655" spans="16:40" x14ac:dyDescent="0.2"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M655" s="52"/>
      <c r="AN655" s="52"/>
    </row>
    <row r="656" spans="16:40" x14ac:dyDescent="0.2"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M656" s="52"/>
      <c r="AN656" s="52"/>
    </row>
    <row r="657" spans="16:40" x14ac:dyDescent="0.2"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M657" s="52"/>
      <c r="AN657" s="52"/>
    </row>
    <row r="658" spans="16:40" x14ac:dyDescent="0.2"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M658" s="52"/>
      <c r="AN658" s="52"/>
    </row>
    <row r="659" spans="16:40" x14ac:dyDescent="0.2"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M659" s="52"/>
      <c r="AN659" s="52"/>
    </row>
    <row r="660" spans="16:40" x14ac:dyDescent="0.2"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M660" s="52"/>
      <c r="AN660" s="52"/>
    </row>
    <row r="661" spans="16:40" x14ac:dyDescent="0.2"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M661" s="52"/>
      <c r="AN661" s="52"/>
    </row>
    <row r="662" spans="16:40" x14ac:dyDescent="0.2"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M662" s="52"/>
      <c r="AN662" s="52"/>
    </row>
    <row r="663" spans="16:40" x14ac:dyDescent="0.2"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M663" s="52"/>
      <c r="AN663" s="52"/>
    </row>
    <row r="664" spans="16:40" x14ac:dyDescent="0.2"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M664" s="52"/>
      <c r="AN664" s="52"/>
    </row>
    <row r="665" spans="16:40" x14ac:dyDescent="0.2"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M665" s="52"/>
      <c r="AN665" s="52"/>
    </row>
    <row r="666" spans="16:40" x14ac:dyDescent="0.2"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M666" s="52"/>
      <c r="AN666" s="52"/>
    </row>
    <row r="667" spans="16:40" x14ac:dyDescent="0.2"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M667" s="52"/>
      <c r="AN667" s="52"/>
    </row>
    <row r="668" spans="16:40" x14ac:dyDescent="0.2"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M668" s="52"/>
      <c r="AN668" s="52"/>
    </row>
    <row r="669" spans="16:40" x14ac:dyDescent="0.2"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M669" s="52"/>
      <c r="AN669" s="52"/>
    </row>
    <row r="670" spans="16:40" x14ac:dyDescent="0.2"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M670" s="52"/>
      <c r="AN670" s="52"/>
    </row>
    <row r="671" spans="16:40" x14ac:dyDescent="0.2"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M671" s="52"/>
      <c r="AN671" s="52"/>
    </row>
    <row r="672" spans="16:40" x14ac:dyDescent="0.2"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M672" s="52"/>
      <c r="AN672" s="52"/>
    </row>
    <row r="673" spans="16:40" x14ac:dyDescent="0.2"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M673" s="52"/>
      <c r="AN673" s="52"/>
    </row>
    <row r="674" spans="16:40" x14ac:dyDescent="0.2"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M674" s="52"/>
      <c r="AN674" s="52"/>
    </row>
    <row r="675" spans="16:40" x14ac:dyDescent="0.2"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M675" s="52"/>
      <c r="AN675" s="52"/>
    </row>
    <row r="676" spans="16:40" x14ac:dyDescent="0.2"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M676" s="52"/>
      <c r="AN676" s="52"/>
    </row>
    <row r="677" spans="16:40" x14ac:dyDescent="0.2"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M677" s="52"/>
      <c r="AN677" s="52"/>
    </row>
    <row r="678" spans="16:40" x14ac:dyDescent="0.2"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M678" s="52"/>
      <c r="AN678" s="52"/>
    </row>
    <row r="679" spans="16:40" x14ac:dyDescent="0.2"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M679" s="52"/>
      <c r="AN679" s="52"/>
    </row>
    <row r="680" spans="16:40" x14ac:dyDescent="0.2"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M680" s="52"/>
      <c r="AN680" s="52"/>
    </row>
    <row r="681" spans="16:40" x14ac:dyDescent="0.2"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M681" s="52"/>
      <c r="AN681" s="52"/>
    </row>
    <row r="682" spans="16:40" x14ac:dyDescent="0.2"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M682" s="52"/>
      <c r="AN682" s="52"/>
    </row>
    <row r="683" spans="16:40" x14ac:dyDescent="0.2"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M683" s="52"/>
      <c r="AN683" s="52"/>
    </row>
    <row r="684" spans="16:40" x14ac:dyDescent="0.2"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M684" s="52"/>
      <c r="AN684" s="52"/>
    </row>
    <row r="685" spans="16:40" x14ac:dyDescent="0.2"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M685" s="52"/>
      <c r="AN685" s="52"/>
    </row>
    <row r="686" spans="16:40" x14ac:dyDescent="0.2"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M686" s="52"/>
      <c r="AN686" s="52"/>
    </row>
    <row r="687" spans="16:40" x14ac:dyDescent="0.2"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M687" s="52"/>
      <c r="AN687" s="52"/>
    </row>
    <row r="688" spans="16:40" x14ac:dyDescent="0.2"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M688" s="52"/>
      <c r="AN688" s="52"/>
    </row>
    <row r="689" spans="16:40" x14ac:dyDescent="0.2"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M689" s="52"/>
      <c r="AN689" s="52"/>
    </row>
    <row r="690" spans="16:40" x14ac:dyDescent="0.2"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M690" s="52"/>
      <c r="AN690" s="52"/>
    </row>
    <row r="691" spans="16:40" x14ac:dyDescent="0.2"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M691" s="52"/>
      <c r="AN691" s="52"/>
    </row>
    <row r="692" spans="16:40" x14ac:dyDescent="0.2"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M692" s="52"/>
      <c r="AN692" s="52"/>
    </row>
    <row r="693" spans="16:40" x14ac:dyDescent="0.2"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M693" s="52"/>
      <c r="AN693" s="52"/>
    </row>
    <row r="694" spans="16:40" x14ac:dyDescent="0.2"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M694" s="52"/>
      <c r="AN694" s="52"/>
    </row>
    <row r="695" spans="16:40" x14ac:dyDescent="0.2"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M695" s="52"/>
      <c r="AN695" s="52"/>
    </row>
    <row r="696" spans="16:40" x14ac:dyDescent="0.2"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M696" s="52"/>
      <c r="AN696" s="52"/>
    </row>
    <row r="697" spans="16:40" x14ac:dyDescent="0.2"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M697" s="52"/>
      <c r="AN697" s="52"/>
    </row>
    <row r="698" spans="16:40" x14ac:dyDescent="0.2"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M698" s="52"/>
      <c r="AN698" s="52"/>
    </row>
    <row r="699" spans="16:40" x14ac:dyDescent="0.2"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M699" s="52"/>
      <c r="AN699" s="52"/>
    </row>
    <row r="700" spans="16:40" x14ac:dyDescent="0.2"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M700" s="52"/>
      <c r="AN700" s="52"/>
    </row>
    <row r="701" spans="16:40" x14ac:dyDescent="0.2"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M701" s="52"/>
      <c r="AN701" s="52"/>
    </row>
    <row r="702" spans="16:40" x14ac:dyDescent="0.2"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M702" s="52"/>
      <c r="AN702" s="52"/>
    </row>
    <row r="703" spans="16:40" x14ac:dyDescent="0.2"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M703" s="52"/>
      <c r="AN703" s="52"/>
    </row>
    <row r="704" spans="16:40" x14ac:dyDescent="0.2"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M704" s="52"/>
      <c r="AN704" s="52"/>
    </row>
    <row r="705" spans="16:40" x14ac:dyDescent="0.2"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M705" s="52"/>
      <c r="AN705" s="52"/>
    </row>
    <row r="706" spans="16:40" x14ac:dyDescent="0.2"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M706" s="52"/>
      <c r="AN706" s="52"/>
    </row>
    <row r="707" spans="16:40" x14ac:dyDescent="0.2"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M707" s="52"/>
      <c r="AN707" s="52"/>
    </row>
    <row r="708" spans="16:40" x14ac:dyDescent="0.2"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M708" s="52"/>
      <c r="AN708" s="52"/>
    </row>
    <row r="709" spans="16:40" x14ac:dyDescent="0.2"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M709" s="52"/>
      <c r="AN709" s="52"/>
    </row>
    <row r="710" spans="16:40" x14ac:dyDescent="0.2"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M710" s="52"/>
      <c r="AN710" s="52"/>
    </row>
    <row r="711" spans="16:40" x14ac:dyDescent="0.2"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M711" s="52"/>
      <c r="AN711" s="52"/>
    </row>
    <row r="712" spans="16:40" x14ac:dyDescent="0.2"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M712" s="52"/>
      <c r="AN712" s="52"/>
    </row>
    <row r="713" spans="16:40" x14ac:dyDescent="0.2"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M713" s="52"/>
      <c r="AN713" s="52"/>
    </row>
    <row r="714" spans="16:40" x14ac:dyDescent="0.2"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M714" s="52"/>
      <c r="AN714" s="52"/>
    </row>
    <row r="715" spans="16:40" x14ac:dyDescent="0.2"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M715" s="52"/>
      <c r="AN715" s="52"/>
    </row>
    <row r="716" spans="16:40" x14ac:dyDescent="0.2"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M716" s="52"/>
      <c r="AN716" s="52"/>
    </row>
    <row r="717" spans="16:40" x14ac:dyDescent="0.2"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M717" s="52"/>
      <c r="AN717" s="52"/>
    </row>
    <row r="718" spans="16:40" x14ac:dyDescent="0.2"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M718" s="52"/>
      <c r="AN718" s="52"/>
    </row>
    <row r="719" spans="16:40" x14ac:dyDescent="0.2"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M719" s="52"/>
      <c r="AN719" s="52"/>
    </row>
    <row r="720" spans="16:40" x14ac:dyDescent="0.2"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M720" s="52"/>
      <c r="AN720" s="52"/>
    </row>
    <row r="721" spans="16:40" x14ac:dyDescent="0.2"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M721" s="52"/>
      <c r="AN721" s="52"/>
    </row>
    <row r="722" spans="16:40" x14ac:dyDescent="0.2"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M722" s="52"/>
      <c r="AN722" s="52"/>
    </row>
    <row r="723" spans="16:40" x14ac:dyDescent="0.2"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M723" s="52"/>
      <c r="AN723" s="52"/>
    </row>
    <row r="724" spans="16:40" x14ac:dyDescent="0.2"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M724" s="52"/>
      <c r="AN724" s="52"/>
    </row>
    <row r="725" spans="16:40" x14ac:dyDescent="0.2"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M725" s="52"/>
      <c r="AN725" s="52"/>
    </row>
    <row r="726" spans="16:40" x14ac:dyDescent="0.2"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M726" s="52"/>
      <c r="AN726" s="52"/>
    </row>
    <row r="727" spans="16:40" x14ac:dyDescent="0.2"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M727" s="52"/>
      <c r="AN727" s="52"/>
    </row>
    <row r="728" spans="16:40" x14ac:dyDescent="0.2"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M728" s="52"/>
      <c r="AN728" s="52"/>
    </row>
    <row r="729" spans="16:40" x14ac:dyDescent="0.2"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M729" s="52"/>
      <c r="AN729" s="52"/>
    </row>
    <row r="730" spans="16:40" x14ac:dyDescent="0.2"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M730" s="52"/>
      <c r="AN730" s="52"/>
    </row>
    <row r="731" spans="16:40" x14ac:dyDescent="0.2"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M731" s="52"/>
      <c r="AN731" s="52"/>
    </row>
    <row r="732" spans="16:40" x14ac:dyDescent="0.2"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M732" s="52"/>
      <c r="AN732" s="52"/>
    </row>
    <row r="733" spans="16:40" x14ac:dyDescent="0.2"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M733" s="52"/>
      <c r="AN733" s="52"/>
    </row>
    <row r="734" spans="16:40" x14ac:dyDescent="0.2"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M734" s="52"/>
      <c r="AN734" s="52"/>
    </row>
    <row r="735" spans="16:40" x14ac:dyDescent="0.2"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M735" s="52"/>
      <c r="AN735" s="52"/>
    </row>
    <row r="736" spans="16:40" x14ac:dyDescent="0.2"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M736" s="52"/>
      <c r="AN736" s="52"/>
    </row>
    <row r="737" spans="16:40" x14ac:dyDescent="0.2"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M737" s="52"/>
      <c r="AN737" s="52"/>
    </row>
    <row r="738" spans="16:40" x14ac:dyDescent="0.2"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M738" s="52"/>
      <c r="AN738" s="52"/>
    </row>
    <row r="739" spans="16:40" x14ac:dyDescent="0.2"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M739" s="52"/>
      <c r="AN739" s="52"/>
    </row>
    <row r="740" spans="16:40" x14ac:dyDescent="0.2"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M740" s="52"/>
      <c r="AN740" s="52"/>
    </row>
    <row r="741" spans="16:40" x14ac:dyDescent="0.2"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M741" s="52"/>
      <c r="AN741" s="52"/>
    </row>
    <row r="742" spans="16:40" x14ac:dyDescent="0.2"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M742" s="52"/>
      <c r="AN742" s="52"/>
    </row>
    <row r="743" spans="16:40" x14ac:dyDescent="0.2"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M743" s="52"/>
      <c r="AN743" s="52"/>
    </row>
    <row r="744" spans="16:40" x14ac:dyDescent="0.2"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M744" s="52"/>
      <c r="AN744" s="52"/>
    </row>
    <row r="745" spans="16:40" x14ac:dyDescent="0.2"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M745" s="52"/>
      <c r="AN745" s="52"/>
    </row>
    <row r="746" spans="16:40" x14ac:dyDescent="0.2"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M746" s="52"/>
      <c r="AN746" s="52"/>
    </row>
    <row r="747" spans="16:40" x14ac:dyDescent="0.2"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M747" s="52"/>
      <c r="AN747" s="52"/>
    </row>
    <row r="748" spans="16:40" x14ac:dyDescent="0.2"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M748" s="52"/>
      <c r="AN748" s="52"/>
    </row>
    <row r="749" spans="16:40" x14ac:dyDescent="0.2"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M749" s="52"/>
      <c r="AN749" s="52"/>
    </row>
    <row r="750" spans="16:40" x14ac:dyDescent="0.2"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M750" s="52"/>
      <c r="AN750" s="52"/>
    </row>
    <row r="751" spans="16:40" x14ac:dyDescent="0.2"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M751" s="52"/>
      <c r="AN751" s="52"/>
    </row>
    <row r="752" spans="16:40" x14ac:dyDescent="0.2"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M752" s="52"/>
      <c r="AN752" s="52"/>
    </row>
    <row r="753" spans="16:40" x14ac:dyDescent="0.2"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M753" s="52"/>
      <c r="AN753" s="52"/>
    </row>
    <row r="754" spans="16:40" x14ac:dyDescent="0.2"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M754" s="52"/>
      <c r="AN754" s="52"/>
    </row>
    <row r="755" spans="16:40" x14ac:dyDescent="0.2"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M755" s="52"/>
      <c r="AN755" s="52"/>
    </row>
    <row r="756" spans="16:40" x14ac:dyDescent="0.2"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M756" s="52"/>
      <c r="AN756" s="52"/>
    </row>
    <row r="757" spans="16:40" x14ac:dyDescent="0.2"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M757" s="52"/>
      <c r="AN757" s="52"/>
    </row>
    <row r="758" spans="16:40" x14ac:dyDescent="0.2"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M758" s="52"/>
      <c r="AN758" s="52"/>
    </row>
    <row r="759" spans="16:40" x14ac:dyDescent="0.2"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M759" s="52"/>
      <c r="AN759" s="52"/>
    </row>
    <row r="760" spans="16:40" x14ac:dyDescent="0.2"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M760" s="52"/>
      <c r="AN760" s="52"/>
    </row>
    <row r="761" spans="16:40" x14ac:dyDescent="0.2"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M761" s="52"/>
      <c r="AN761" s="52"/>
    </row>
    <row r="762" spans="16:40" x14ac:dyDescent="0.2"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M762" s="52"/>
      <c r="AN762" s="52"/>
    </row>
    <row r="763" spans="16:40" x14ac:dyDescent="0.2"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M763" s="52"/>
      <c r="AN763" s="52"/>
    </row>
    <row r="764" spans="16:40" x14ac:dyDescent="0.2"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M764" s="52"/>
      <c r="AN764" s="52"/>
    </row>
    <row r="765" spans="16:40" x14ac:dyDescent="0.2"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M765" s="52"/>
      <c r="AN765" s="52"/>
    </row>
    <row r="766" spans="16:40" x14ac:dyDescent="0.2"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M766" s="52"/>
      <c r="AN766" s="52"/>
    </row>
    <row r="767" spans="16:40" x14ac:dyDescent="0.2"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M767" s="52"/>
      <c r="AN767" s="52"/>
    </row>
    <row r="768" spans="16:40" x14ac:dyDescent="0.2"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M768" s="52"/>
      <c r="AN768" s="52"/>
    </row>
    <row r="769" spans="16:40" x14ac:dyDescent="0.2"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M769" s="52"/>
      <c r="AN769" s="52"/>
    </row>
    <row r="770" spans="16:40" x14ac:dyDescent="0.2"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M770" s="52"/>
      <c r="AN770" s="52"/>
    </row>
    <row r="771" spans="16:40" x14ac:dyDescent="0.2"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M771" s="52"/>
      <c r="AN771" s="52"/>
    </row>
    <row r="772" spans="16:40" x14ac:dyDescent="0.2"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M772" s="52"/>
      <c r="AN772" s="52"/>
    </row>
    <row r="773" spans="16:40" x14ac:dyDescent="0.2"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M773" s="52"/>
      <c r="AN773" s="52"/>
    </row>
    <row r="774" spans="16:40" x14ac:dyDescent="0.2"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M774" s="52"/>
      <c r="AN774" s="52"/>
    </row>
    <row r="775" spans="16:40" x14ac:dyDescent="0.2"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M775" s="52"/>
      <c r="AN775" s="52"/>
    </row>
    <row r="776" spans="16:40" x14ac:dyDescent="0.2"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M776" s="52"/>
      <c r="AN776" s="52"/>
    </row>
    <row r="777" spans="16:40" x14ac:dyDescent="0.2"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M777" s="52"/>
      <c r="AN777" s="52"/>
    </row>
    <row r="778" spans="16:40" x14ac:dyDescent="0.2"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M778" s="52"/>
      <c r="AN778" s="52"/>
    </row>
    <row r="779" spans="16:40" x14ac:dyDescent="0.2"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M779" s="52"/>
      <c r="AN779" s="52"/>
    </row>
    <row r="780" spans="16:40" x14ac:dyDescent="0.2"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M780" s="52"/>
      <c r="AN780" s="52"/>
    </row>
    <row r="781" spans="16:40" x14ac:dyDescent="0.2"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M781" s="52"/>
      <c r="AN781" s="52"/>
    </row>
    <row r="782" spans="16:40" x14ac:dyDescent="0.2"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M782" s="52"/>
      <c r="AN782" s="52"/>
    </row>
    <row r="783" spans="16:40" x14ac:dyDescent="0.2"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M783" s="52"/>
      <c r="AN783" s="52"/>
    </row>
    <row r="784" spans="16:40" x14ac:dyDescent="0.2"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M784" s="52"/>
      <c r="AN784" s="52"/>
    </row>
    <row r="785" spans="16:40" x14ac:dyDescent="0.2"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M785" s="52"/>
      <c r="AN785" s="52"/>
    </row>
    <row r="786" spans="16:40" x14ac:dyDescent="0.2"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M786" s="52"/>
      <c r="AN786" s="52"/>
    </row>
    <row r="787" spans="16:40" x14ac:dyDescent="0.2"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M787" s="52"/>
      <c r="AN787" s="52"/>
    </row>
    <row r="788" spans="16:40" x14ac:dyDescent="0.2"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M788" s="52"/>
      <c r="AN788" s="52"/>
    </row>
    <row r="789" spans="16:40" x14ac:dyDescent="0.2"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M789" s="52"/>
      <c r="AN789" s="52"/>
    </row>
    <row r="790" spans="16:40" x14ac:dyDescent="0.2"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M790" s="52"/>
      <c r="AN790" s="52"/>
    </row>
    <row r="791" spans="16:40" x14ac:dyDescent="0.2"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M791" s="52"/>
      <c r="AN791" s="52"/>
    </row>
    <row r="792" spans="16:40" x14ac:dyDescent="0.2"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M792" s="52"/>
      <c r="AN792" s="52"/>
    </row>
    <row r="793" spans="16:40" x14ac:dyDescent="0.2"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M793" s="52"/>
      <c r="AN793" s="52"/>
    </row>
    <row r="794" spans="16:40" x14ac:dyDescent="0.2"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M794" s="52"/>
      <c r="AN794" s="52"/>
    </row>
    <row r="795" spans="16:40" x14ac:dyDescent="0.2"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M795" s="52"/>
      <c r="AN795" s="52"/>
    </row>
    <row r="796" spans="16:40" x14ac:dyDescent="0.2"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M796" s="52"/>
      <c r="AN796" s="52"/>
    </row>
    <row r="797" spans="16:40" x14ac:dyDescent="0.2"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M797" s="52"/>
      <c r="AN797" s="52"/>
    </row>
    <row r="798" spans="16:40" x14ac:dyDescent="0.2"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M798" s="52"/>
      <c r="AN798" s="52"/>
    </row>
    <row r="799" spans="16:40" x14ac:dyDescent="0.2"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M799" s="52"/>
      <c r="AN799" s="52"/>
    </row>
    <row r="800" spans="16:40" x14ac:dyDescent="0.2"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M800" s="52"/>
      <c r="AN800" s="52"/>
    </row>
    <row r="801" spans="16:40" x14ac:dyDescent="0.2"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M801" s="52"/>
      <c r="AN801" s="52"/>
    </row>
    <row r="802" spans="16:40" x14ac:dyDescent="0.2"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M802" s="52"/>
      <c r="AN802" s="52"/>
    </row>
    <row r="803" spans="16:40" x14ac:dyDescent="0.2"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M803" s="52"/>
      <c r="AN803" s="52"/>
    </row>
    <row r="804" spans="16:40" x14ac:dyDescent="0.2"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M804" s="52"/>
      <c r="AN804" s="52"/>
    </row>
    <row r="805" spans="16:40" x14ac:dyDescent="0.2"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M805" s="52"/>
      <c r="AN805" s="52"/>
    </row>
    <row r="806" spans="16:40" x14ac:dyDescent="0.2"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M806" s="52"/>
      <c r="AN806" s="52"/>
    </row>
    <row r="807" spans="16:40" x14ac:dyDescent="0.2"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M807" s="52"/>
      <c r="AN807" s="52"/>
    </row>
    <row r="808" spans="16:40" x14ac:dyDescent="0.2"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M808" s="52"/>
      <c r="AN808" s="52"/>
    </row>
    <row r="809" spans="16:40" x14ac:dyDescent="0.2"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M809" s="52"/>
      <c r="AN809" s="52"/>
    </row>
    <row r="810" spans="16:40" x14ac:dyDescent="0.2"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M810" s="52"/>
      <c r="AN810" s="52"/>
    </row>
    <row r="811" spans="16:40" x14ac:dyDescent="0.2"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M811" s="52"/>
      <c r="AN811" s="52"/>
    </row>
    <row r="812" spans="16:40" x14ac:dyDescent="0.2"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M812" s="52"/>
      <c r="AN812" s="52"/>
    </row>
    <row r="813" spans="16:40" x14ac:dyDescent="0.2"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M813" s="52"/>
      <c r="AN813" s="52"/>
    </row>
    <row r="814" spans="16:40" x14ac:dyDescent="0.2"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M814" s="52"/>
      <c r="AN814" s="52"/>
    </row>
    <row r="815" spans="16:40" x14ac:dyDescent="0.2"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M815" s="52"/>
      <c r="AN815" s="52"/>
    </row>
    <row r="816" spans="16:40" x14ac:dyDescent="0.2"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M816" s="52"/>
      <c r="AN816" s="52"/>
    </row>
    <row r="817" spans="16:40" x14ac:dyDescent="0.2"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M817" s="52"/>
      <c r="AN817" s="52"/>
    </row>
    <row r="818" spans="16:40" x14ac:dyDescent="0.2"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M818" s="52"/>
      <c r="AN818" s="52"/>
    </row>
    <row r="819" spans="16:40" x14ac:dyDescent="0.2"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M819" s="52"/>
      <c r="AN819" s="52"/>
    </row>
    <row r="820" spans="16:40" x14ac:dyDescent="0.2"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M820" s="52"/>
      <c r="AN820" s="52"/>
    </row>
    <row r="821" spans="16:40" x14ac:dyDescent="0.2"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M821" s="52"/>
      <c r="AN821" s="52"/>
    </row>
    <row r="822" spans="16:40" x14ac:dyDescent="0.2"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M822" s="52"/>
      <c r="AN822" s="52"/>
    </row>
    <row r="823" spans="16:40" x14ac:dyDescent="0.2"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M823" s="52"/>
      <c r="AN823" s="52"/>
    </row>
    <row r="824" spans="16:40" x14ac:dyDescent="0.2"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M824" s="52"/>
      <c r="AN824" s="52"/>
    </row>
    <row r="825" spans="16:40" x14ac:dyDescent="0.2"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M825" s="52"/>
      <c r="AN825" s="52"/>
    </row>
    <row r="826" spans="16:40" x14ac:dyDescent="0.2"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M826" s="52"/>
      <c r="AN826" s="52"/>
    </row>
    <row r="827" spans="16:40" x14ac:dyDescent="0.2"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M827" s="52"/>
      <c r="AN827" s="52"/>
    </row>
    <row r="828" spans="16:40" x14ac:dyDescent="0.2"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M828" s="52"/>
      <c r="AN828" s="52"/>
    </row>
    <row r="829" spans="16:40" x14ac:dyDescent="0.2"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M829" s="52"/>
      <c r="AN829" s="52"/>
    </row>
    <row r="830" spans="16:40" x14ac:dyDescent="0.2"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M830" s="52"/>
      <c r="AN830" s="52"/>
    </row>
    <row r="831" spans="16:40" x14ac:dyDescent="0.2"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M831" s="52"/>
      <c r="AN831" s="52"/>
    </row>
    <row r="832" spans="16:40" x14ac:dyDescent="0.2"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M832" s="52"/>
      <c r="AN832" s="52"/>
    </row>
    <row r="833" spans="16:40" x14ac:dyDescent="0.2"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M833" s="52"/>
      <c r="AN833" s="52"/>
    </row>
    <row r="834" spans="16:40" x14ac:dyDescent="0.2"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M834" s="52"/>
      <c r="AN834" s="52"/>
    </row>
    <row r="835" spans="16:40" x14ac:dyDescent="0.2"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M835" s="52"/>
      <c r="AN835" s="52"/>
    </row>
    <row r="836" spans="16:40" x14ac:dyDescent="0.2"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M836" s="52"/>
      <c r="AN836" s="52"/>
    </row>
    <row r="837" spans="16:40" x14ac:dyDescent="0.2"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M837" s="52"/>
      <c r="AN837" s="52"/>
    </row>
    <row r="838" spans="16:40" x14ac:dyDescent="0.2"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M838" s="52"/>
      <c r="AN838" s="52"/>
    </row>
    <row r="839" spans="16:40" x14ac:dyDescent="0.2"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M839" s="52"/>
      <c r="AN839" s="52"/>
    </row>
    <row r="840" spans="16:40" x14ac:dyDescent="0.2"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M840" s="52"/>
      <c r="AN840" s="52"/>
    </row>
    <row r="841" spans="16:40" x14ac:dyDescent="0.2"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M841" s="52"/>
      <c r="AN841" s="52"/>
    </row>
    <row r="842" spans="16:40" x14ac:dyDescent="0.2"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M842" s="52"/>
      <c r="AN842" s="52"/>
    </row>
    <row r="843" spans="16:40" x14ac:dyDescent="0.2"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M843" s="52"/>
      <c r="AN843" s="52"/>
    </row>
    <row r="844" spans="16:40" x14ac:dyDescent="0.2"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M844" s="52"/>
      <c r="AN844" s="52"/>
    </row>
    <row r="845" spans="16:40" x14ac:dyDescent="0.2"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M845" s="52"/>
      <c r="AN845" s="52"/>
    </row>
    <row r="846" spans="16:40" x14ac:dyDescent="0.2"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M846" s="52"/>
      <c r="AN846" s="52"/>
    </row>
    <row r="847" spans="16:40" x14ac:dyDescent="0.2"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M847" s="52"/>
      <c r="AN847" s="52"/>
    </row>
    <row r="848" spans="16:40" x14ac:dyDescent="0.2"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M848" s="52"/>
      <c r="AN848" s="52"/>
    </row>
    <row r="849" spans="16:40" x14ac:dyDescent="0.2"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M849" s="52"/>
      <c r="AN849" s="52"/>
    </row>
    <row r="850" spans="16:40" x14ac:dyDescent="0.2"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M850" s="52"/>
      <c r="AN850" s="52"/>
    </row>
    <row r="851" spans="16:40" x14ac:dyDescent="0.2"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M851" s="52"/>
      <c r="AN851" s="52"/>
    </row>
    <row r="852" spans="16:40" x14ac:dyDescent="0.2"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M852" s="52"/>
      <c r="AN852" s="52"/>
    </row>
    <row r="853" spans="16:40" x14ac:dyDescent="0.2"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M853" s="52"/>
      <c r="AN853" s="52"/>
    </row>
    <row r="854" spans="16:40" x14ac:dyDescent="0.2"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M854" s="52"/>
      <c r="AN854" s="52"/>
    </row>
    <row r="855" spans="16:40" x14ac:dyDescent="0.2"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M855" s="52"/>
      <c r="AN855" s="52"/>
    </row>
    <row r="856" spans="16:40" x14ac:dyDescent="0.2"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M856" s="52"/>
      <c r="AN856" s="52"/>
    </row>
    <row r="857" spans="16:40" x14ac:dyDescent="0.2"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M857" s="52"/>
      <c r="AN857" s="52"/>
    </row>
    <row r="858" spans="16:40" x14ac:dyDescent="0.2"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M858" s="52"/>
      <c r="AN858" s="52"/>
    </row>
    <row r="859" spans="16:40" x14ac:dyDescent="0.2"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M859" s="52"/>
      <c r="AN859" s="52"/>
    </row>
    <row r="860" spans="16:40" x14ac:dyDescent="0.2"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M860" s="52"/>
      <c r="AN860" s="52"/>
    </row>
    <row r="861" spans="16:40" x14ac:dyDescent="0.2"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M861" s="52"/>
      <c r="AN861" s="52"/>
    </row>
    <row r="862" spans="16:40" x14ac:dyDescent="0.2"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M862" s="52"/>
      <c r="AN862" s="52"/>
    </row>
    <row r="863" spans="16:40" x14ac:dyDescent="0.2"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M863" s="52"/>
      <c r="AN863" s="52"/>
    </row>
    <row r="864" spans="16:40" x14ac:dyDescent="0.2"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M864" s="52"/>
      <c r="AN864" s="52"/>
    </row>
    <row r="865" spans="16:40" x14ac:dyDescent="0.2"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M865" s="52"/>
      <c r="AN865" s="52"/>
    </row>
    <row r="866" spans="16:40" x14ac:dyDescent="0.2"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M866" s="52"/>
      <c r="AN866" s="52"/>
    </row>
    <row r="867" spans="16:40" x14ac:dyDescent="0.2"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M867" s="52"/>
      <c r="AN867" s="52"/>
    </row>
    <row r="868" spans="16:40" x14ac:dyDescent="0.2"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M868" s="52"/>
      <c r="AN868" s="52"/>
    </row>
    <row r="869" spans="16:40" x14ac:dyDescent="0.2"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M869" s="52"/>
      <c r="AN869" s="52"/>
    </row>
    <row r="870" spans="16:40" x14ac:dyDescent="0.2"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M870" s="52"/>
      <c r="AN870" s="52"/>
    </row>
    <row r="871" spans="16:40" x14ac:dyDescent="0.2"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M871" s="52"/>
      <c r="AN871" s="52"/>
    </row>
    <row r="872" spans="16:40" x14ac:dyDescent="0.2"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M872" s="52"/>
      <c r="AN872" s="52"/>
    </row>
    <row r="873" spans="16:40" x14ac:dyDescent="0.2"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M873" s="52"/>
      <c r="AN873" s="52"/>
    </row>
    <row r="874" spans="16:40" x14ac:dyDescent="0.2"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M874" s="52"/>
      <c r="AN874" s="52"/>
    </row>
    <row r="875" spans="16:40" x14ac:dyDescent="0.2"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M875" s="52"/>
      <c r="AN875" s="52"/>
    </row>
    <row r="876" spans="16:40" x14ac:dyDescent="0.2"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M876" s="52"/>
      <c r="AN876" s="52"/>
    </row>
    <row r="877" spans="16:40" x14ac:dyDescent="0.2"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M877" s="52"/>
      <c r="AN877" s="52"/>
    </row>
    <row r="878" spans="16:40" x14ac:dyDescent="0.2"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M878" s="52"/>
      <c r="AN878" s="52"/>
    </row>
    <row r="879" spans="16:40" x14ac:dyDescent="0.2"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M879" s="52"/>
      <c r="AN879" s="52"/>
    </row>
    <row r="880" spans="16:40" x14ac:dyDescent="0.2"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M880" s="52"/>
      <c r="AN880" s="52"/>
    </row>
    <row r="881" spans="16:40" x14ac:dyDescent="0.2"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M881" s="52"/>
      <c r="AN881" s="52"/>
    </row>
    <row r="882" spans="16:40" x14ac:dyDescent="0.2"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M882" s="52"/>
      <c r="AN882" s="52"/>
    </row>
    <row r="883" spans="16:40" x14ac:dyDescent="0.2"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M883" s="52"/>
      <c r="AN883" s="52"/>
    </row>
    <row r="884" spans="16:40" x14ac:dyDescent="0.2"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M884" s="52"/>
      <c r="AN884" s="52"/>
    </row>
    <row r="885" spans="16:40" x14ac:dyDescent="0.2"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M885" s="52"/>
      <c r="AN885" s="52"/>
    </row>
    <row r="886" spans="16:40" x14ac:dyDescent="0.2"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M886" s="52"/>
      <c r="AN886" s="52"/>
    </row>
    <row r="887" spans="16:40" x14ac:dyDescent="0.2"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M887" s="52"/>
      <c r="AN887" s="52"/>
    </row>
    <row r="888" spans="16:40" x14ac:dyDescent="0.2"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M888" s="52"/>
      <c r="AN888" s="52"/>
    </row>
    <row r="889" spans="16:40" x14ac:dyDescent="0.2"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M889" s="52"/>
      <c r="AN889" s="52"/>
    </row>
    <row r="890" spans="16:40" x14ac:dyDescent="0.2"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M890" s="52"/>
      <c r="AN890" s="52"/>
    </row>
    <row r="891" spans="16:40" x14ac:dyDescent="0.2"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M891" s="52"/>
      <c r="AN891" s="52"/>
    </row>
    <row r="892" spans="16:40" x14ac:dyDescent="0.2"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M892" s="52"/>
      <c r="AN892" s="52"/>
    </row>
    <row r="893" spans="16:40" x14ac:dyDescent="0.2"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M893" s="52"/>
      <c r="AN893" s="52"/>
    </row>
    <row r="894" spans="16:40" x14ac:dyDescent="0.2"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M894" s="52"/>
      <c r="AN894" s="52"/>
    </row>
    <row r="895" spans="16:40" x14ac:dyDescent="0.2"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M895" s="52"/>
      <c r="AN895" s="52"/>
    </row>
    <row r="896" spans="16:40" x14ac:dyDescent="0.2"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M896" s="52"/>
      <c r="AN896" s="52"/>
    </row>
    <row r="897" spans="16:40" x14ac:dyDescent="0.2"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M897" s="52"/>
      <c r="AN897" s="52"/>
    </row>
    <row r="898" spans="16:40" x14ac:dyDescent="0.2"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M898" s="52"/>
      <c r="AN898" s="52"/>
    </row>
    <row r="899" spans="16:40" x14ac:dyDescent="0.2"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M899" s="52"/>
      <c r="AN899" s="52"/>
    </row>
    <row r="900" spans="16:40" x14ac:dyDescent="0.2"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M900" s="52"/>
      <c r="AN900" s="52"/>
    </row>
    <row r="901" spans="16:40" x14ac:dyDescent="0.2"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M901" s="52"/>
      <c r="AN901" s="52"/>
    </row>
    <row r="902" spans="16:40" x14ac:dyDescent="0.2"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M902" s="52"/>
      <c r="AN902" s="52"/>
    </row>
    <row r="903" spans="16:40" x14ac:dyDescent="0.2"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M903" s="52"/>
      <c r="AN903" s="52"/>
    </row>
    <row r="904" spans="16:40" x14ac:dyDescent="0.2"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M904" s="52"/>
      <c r="AN904" s="52"/>
    </row>
    <row r="905" spans="16:40" x14ac:dyDescent="0.2"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M905" s="52"/>
      <c r="AN905" s="52"/>
    </row>
    <row r="906" spans="16:40" x14ac:dyDescent="0.2"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M906" s="52"/>
      <c r="AN906" s="52"/>
    </row>
    <row r="907" spans="16:40" x14ac:dyDescent="0.2"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M907" s="52"/>
      <c r="AN907" s="52"/>
    </row>
    <row r="908" spans="16:40" x14ac:dyDescent="0.2"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M908" s="52"/>
      <c r="AN908" s="52"/>
    </row>
    <row r="909" spans="16:40" x14ac:dyDescent="0.2"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M909" s="52"/>
      <c r="AN909" s="52"/>
    </row>
    <row r="910" spans="16:40" x14ac:dyDescent="0.2"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M910" s="52"/>
      <c r="AN910" s="52"/>
    </row>
    <row r="911" spans="16:40" x14ac:dyDescent="0.2"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M911" s="52"/>
      <c r="AN911" s="52"/>
    </row>
    <row r="912" spans="16:40" x14ac:dyDescent="0.2"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M912" s="52"/>
      <c r="AN912" s="52"/>
    </row>
    <row r="913" spans="16:40" x14ac:dyDescent="0.2"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M913" s="52"/>
      <c r="AN913" s="52"/>
    </row>
    <row r="914" spans="16:40" x14ac:dyDescent="0.2"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M914" s="52"/>
      <c r="AN914" s="52"/>
    </row>
    <row r="915" spans="16:40" x14ac:dyDescent="0.2"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M915" s="52"/>
      <c r="AN915" s="52"/>
    </row>
    <row r="916" spans="16:40" x14ac:dyDescent="0.2"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M916" s="52"/>
      <c r="AN916" s="52"/>
    </row>
    <row r="917" spans="16:40" x14ac:dyDescent="0.2"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M917" s="52"/>
      <c r="AN917" s="52"/>
    </row>
    <row r="918" spans="16:40" x14ac:dyDescent="0.2"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M918" s="52"/>
      <c r="AN918" s="52"/>
    </row>
    <row r="919" spans="16:40" x14ac:dyDescent="0.2"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M919" s="52"/>
      <c r="AN919" s="52"/>
    </row>
    <row r="920" spans="16:40" x14ac:dyDescent="0.2"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M920" s="52"/>
      <c r="AN920" s="52"/>
    </row>
    <row r="921" spans="16:40" x14ac:dyDescent="0.2"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M921" s="52"/>
      <c r="AN921" s="52"/>
    </row>
    <row r="922" spans="16:40" x14ac:dyDescent="0.2"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M922" s="52"/>
      <c r="AN922" s="52"/>
    </row>
    <row r="923" spans="16:40" x14ac:dyDescent="0.2"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M923" s="52"/>
      <c r="AN923" s="52"/>
    </row>
    <row r="924" spans="16:40" x14ac:dyDescent="0.2"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M924" s="52"/>
      <c r="AN924" s="52"/>
    </row>
    <row r="925" spans="16:40" x14ac:dyDescent="0.2"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M925" s="52"/>
      <c r="AN925" s="52"/>
    </row>
    <row r="926" spans="16:40" x14ac:dyDescent="0.2"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M926" s="52"/>
      <c r="AN926" s="52"/>
    </row>
    <row r="927" spans="16:40" x14ac:dyDescent="0.2"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M927" s="52"/>
      <c r="AN927" s="52"/>
    </row>
    <row r="928" spans="16:40" x14ac:dyDescent="0.2"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M928" s="52"/>
      <c r="AN928" s="52"/>
    </row>
    <row r="929" spans="16:40" x14ac:dyDescent="0.2"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M929" s="52"/>
      <c r="AN929" s="52"/>
    </row>
    <row r="930" spans="16:40" x14ac:dyDescent="0.2"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M930" s="52"/>
      <c r="AN930" s="52"/>
    </row>
    <row r="931" spans="16:40" x14ac:dyDescent="0.2"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M931" s="52"/>
      <c r="AN931" s="52"/>
    </row>
    <row r="932" spans="16:40" x14ac:dyDescent="0.2"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M932" s="52"/>
      <c r="AN932" s="52"/>
    </row>
    <row r="933" spans="16:40" x14ac:dyDescent="0.2"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M933" s="52"/>
      <c r="AN933" s="52"/>
    </row>
    <row r="934" spans="16:40" x14ac:dyDescent="0.2"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M934" s="52"/>
      <c r="AN934" s="52"/>
    </row>
    <row r="935" spans="16:40" x14ac:dyDescent="0.2"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M935" s="52"/>
      <c r="AN935" s="52"/>
    </row>
    <row r="936" spans="16:40" x14ac:dyDescent="0.2"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M936" s="52"/>
      <c r="AN936" s="52"/>
    </row>
    <row r="937" spans="16:40" x14ac:dyDescent="0.2"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M937" s="52"/>
      <c r="AN937" s="52"/>
    </row>
    <row r="938" spans="16:40" x14ac:dyDescent="0.2"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M938" s="52"/>
      <c r="AN938" s="52"/>
    </row>
    <row r="939" spans="16:40" x14ac:dyDescent="0.2"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M939" s="52"/>
      <c r="AN939" s="52"/>
    </row>
    <row r="940" spans="16:40" x14ac:dyDescent="0.2"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M940" s="52"/>
      <c r="AN940" s="52"/>
    </row>
    <row r="941" spans="16:40" x14ac:dyDescent="0.2"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M941" s="52"/>
      <c r="AN941" s="52"/>
    </row>
    <row r="942" spans="16:40" x14ac:dyDescent="0.2"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M942" s="52"/>
      <c r="AN942" s="52"/>
    </row>
    <row r="943" spans="16:40" x14ac:dyDescent="0.2"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M943" s="52"/>
      <c r="AN943" s="52"/>
    </row>
    <row r="944" spans="16:40" x14ac:dyDescent="0.2"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M944" s="52"/>
      <c r="AN944" s="52"/>
    </row>
    <row r="945" spans="16:40" x14ac:dyDescent="0.2"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M945" s="52"/>
      <c r="AN945" s="52"/>
    </row>
    <row r="946" spans="16:40" x14ac:dyDescent="0.2"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M946" s="52"/>
      <c r="AN946" s="52"/>
    </row>
    <row r="947" spans="16:40" x14ac:dyDescent="0.2"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M947" s="52"/>
      <c r="AN947" s="52"/>
    </row>
    <row r="948" spans="16:40" x14ac:dyDescent="0.2"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M948" s="52"/>
      <c r="AN948" s="52"/>
    </row>
    <row r="949" spans="16:40" x14ac:dyDescent="0.2"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M949" s="52"/>
      <c r="AN949" s="52"/>
    </row>
    <row r="950" spans="16:40" x14ac:dyDescent="0.2"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M950" s="52"/>
      <c r="AN950" s="52"/>
    </row>
    <row r="951" spans="16:40" x14ac:dyDescent="0.2"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M951" s="52"/>
      <c r="AN951" s="52"/>
    </row>
    <row r="952" spans="16:40" x14ac:dyDescent="0.2"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M952" s="52"/>
      <c r="AN952" s="52"/>
    </row>
    <row r="953" spans="16:40" x14ac:dyDescent="0.2"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M953" s="52"/>
      <c r="AN953" s="52"/>
    </row>
    <row r="954" spans="16:40" x14ac:dyDescent="0.2"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M954" s="52"/>
      <c r="AN954" s="52"/>
    </row>
    <row r="955" spans="16:40" x14ac:dyDescent="0.2"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M955" s="52"/>
      <c r="AN955" s="52"/>
    </row>
    <row r="956" spans="16:40" x14ac:dyDescent="0.2"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M956" s="52"/>
      <c r="AN956" s="52"/>
    </row>
    <row r="957" spans="16:40" x14ac:dyDescent="0.2"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M957" s="52"/>
      <c r="AN957" s="52"/>
    </row>
    <row r="958" spans="16:40" x14ac:dyDescent="0.2"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M958" s="52"/>
      <c r="AN958" s="52"/>
    </row>
    <row r="959" spans="16:40" x14ac:dyDescent="0.2"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M959" s="52"/>
      <c r="AN959" s="52"/>
    </row>
    <row r="960" spans="16:40" x14ac:dyDescent="0.2"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M960" s="52"/>
      <c r="AN960" s="52"/>
    </row>
    <row r="961" spans="16:40" x14ac:dyDescent="0.2"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M961" s="52"/>
      <c r="AN961" s="52"/>
    </row>
    <row r="962" spans="16:40" x14ac:dyDescent="0.2"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M962" s="52"/>
      <c r="AN962" s="52"/>
    </row>
    <row r="963" spans="16:40" x14ac:dyDescent="0.2"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M963" s="52"/>
      <c r="AN963" s="52"/>
    </row>
    <row r="964" spans="16:40" x14ac:dyDescent="0.2"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M964" s="52"/>
      <c r="AN964" s="52"/>
    </row>
    <row r="965" spans="16:40" x14ac:dyDescent="0.2"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M965" s="52"/>
      <c r="AN965" s="52"/>
    </row>
    <row r="966" spans="16:40" x14ac:dyDescent="0.2"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M966" s="52"/>
      <c r="AN966" s="52"/>
    </row>
    <row r="967" spans="16:40" x14ac:dyDescent="0.2"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M967" s="52"/>
      <c r="AN967" s="52"/>
    </row>
    <row r="968" spans="16:40" x14ac:dyDescent="0.2"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M968" s="52"/>
      <c r="AN968" s="52"/>
    </row>
    <row r="969" spans="16:40" x14ac:dyDescent="0.2"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M969" s="52"/>
      <c r="AN969" s="52"/>
    </row>
    <row r="970" spans="16:40" x14ac:dyDescent="0.2"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M970" s="52"/>
      <c r="AN970" s="52"/>
    </row>
    <row r="971" spans="16:40" x14ac:dyDescent="0.2"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M971" s="52"/>
      <c r="AN971" s="52"/>
    </row>
    <row r="972" spans="16:40" x14ac:dyDescent="0.2"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M972" s="52"/>
      <c r="AN972" s="52"/>
    </row>
    <row r="973" spans="16:40" x14ac:dyDescent="0.2"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M973" s="52"/>
      <c r="AN973" s="52"/>
    </row>
    <row r="974" spans="16:40" x14ac:dyDescent="0.2"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M974" s="52"/>
      <c r="AN974" s="52"/>
    </row>
    <row r="975" spans="16:40" x14ac:dyDescent="0.2"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M975" s="52"/>
      <c r="AN975" s="52"/>
    </row>
    <row r="976" spans="16:40" x14ac:dyDescent="0.2"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M976" s="52"/>
      <c r="AN976" s="52"/>
    </row>
    <row r="977" spans="16:40" x14ac:dyDescent="0.2"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M977" s="52"/>
      <c r="AN977" s="52"/>
    </row>
    <row r="978" spans="16:40" x14ac:dyDescent="0.2"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M978" s="52"/>
      <c r="AN978" s="52"/>
    </row>
    <row r="979" spans="16:40" x14ac:dyDescent="0.2"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M979" s="52"/>
      <c r="AN979" s="52"/>
    </row>
    <row r="980" spans="16:40" x14ac:dyDescent="0.2"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M980" s="52"/>
      <c r="AN980" s="52"/>
    </row>
    <row r="981" spans="16:40" x14ac:dyDescent="0.2"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M981" s="52"/>
      <c r="AN981" s="52"/>
    </row>
    <row r="982" spans="16:40" x14ac:dyDescent="0.2"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M982" s="52"/>
      <c r="AN982" s="52"/>
    </row>
    <row r="983" spans="16:40" x14ac:dyDescent="0.2"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M983" s="52"/>
      <c r="AN983" s="52"/>
    </row>
    <row r="984" spans="16:40" x14ac:dyDescent="0.2"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M984" s="52"/>
      <c r="AN984" s="52"/>
    </row>
    <row r="985" spans="16:40" x14ac:dyDescent="0.2"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M985" s="52"/>
      <c r="AN985" s="52"/>
    </row>
    <row r="986" spans="16:40" x14ac:dyDescent="0.2"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M986" s="52"/>
      <c r="AN986" s="52"/>
    </row>
    <row r="987" spans="16:40" x14ac:dyDescent="0.2"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M987" s="52"/>
      <c r="AN987" s="52"/>
    </row>
    <row r="988" spans="16:40" x14ac:dyDescent="0.2"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M988" s="52"/>
      <c r="AN988" s="52"/>
    </row>
    <row r="989" spans="16:40" x14ac:dyDescent="0.2"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M989" s="52"/>
      <c r="AN989" s="52"/>
    </row>
    <row r="990" spans="16:40" x14ac:dyDescent="0.2"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M990" s="52"/>
      <c r="AN990" s="52"/>
    </row>
    <row r="991" spans="16:40" x14ac:dyDescent="0.2"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M991" s="52"/>
      <c r="AN991" s="52"/>
    </row>
    <row r="992" spans="16:40" x14ac:dyDescent="0.2"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M992" s="52"/>
      <c r="AN992" s="52"/>
    </row>
    <row r="993" spans="16:40" x14ac:dyDescent="0.2"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M993" s="52"/>
      <c r="AN993" s="52"/>
    </row>
    <row r="994" spans="16:40" x14ac:dyDescent="0.2"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M994" s="52"/>
      <c r="AN994" s="52"/>
    </row>
    <row r="995" spans="16:40" x14ac:dyDescent="0.2"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M995" s="52"/>
      <c r="AN995" s="52"/>
    </row>
    <row r="996" spans="16:40" x14ac:dyDescent="0.2"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M996" s="52"/>
      <c r="AN996" s="52"/>
    </row>
    <row r="997" spans="16:40" x14ac:dyDescent="0.2"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M997" s="52"/>
      <c r="AN997" s="52"/>
    </row>
    <row r="998" spans="16:40" x14ac:dyDescent="0.2"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M998" s="52"/>
      <c r="AN998" s="52"/>
    </row>
    <row r="999" spans="16:40" x14ac:dyDescent="0.2"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M999" s="52"/>
      <c r="AN999" s="52"/>
    </row>
    <row r="1000" spans="16:40" x14ac:dyDescent="0.2"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M1000" s="52"/>
      <c r="AN1000" s="52"/>
    </row>
    <row r="1001" spans="16:40" x14ac:dyDescent="0.2"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M1001" s="52"/>
      <c r="AN1001" s="52"/>
    </row>
    <row r="1002" spans="16:40" x14ac:dyDescent="0.2"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M1002" s="52"/>
      <c r="AN1002" s="52"/>
    </row>
    <row r="1003" spans="16:40" x14ac:dyDescent="0.2"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M1003" s="52"/>
      <c r="AN1003" s="52"/>
    </row>
    <row r="1004" spans="16:40" x14ac:dyDescent="0.2"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M1004" s="52"/>
      <c r="AN1004" s="52"/>
    </row>
    <row r="1005" spans="16:40" x14ac:dyDescent="0.2"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M1005" s="52"/>
      <c r="AN1005" s="52"/>
    </row>
    <row r="1006" spans="16:40" x14ac:dyDescent="0.2"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M1006" s="52"/>
      <c r="AN1006" s="52"/>
    </row>
    <row r="1007" spans="16:40" x14ac:dyDescent="0.2"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M1007" s="52"/>
      <c r="AN1007" s="52"/>
    </row>
    <row r="1008" spans="16:40" x14ac:dyDescent="0.2"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M1008" s="52"/>
      <c r="AN1008" s="52"/>
    </row>
    <row r="1009" spans="16:40" x14ac:dyDescent="0.2"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M1009" s="52"/>
      <c r="AN1009" s="52"/>
    </row>
    <row r="1010" spans="16:40" x14ac:dyDescent="0.2"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M1010" s="52"/>
      <c r="AN1010" s="52"/>
    </row>
    <row r="1011" spans="16:40" x14ac:dyDescent="0.2"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M1011" s="52"/>
      <c r="AN1011" s="52"/>
    </row>
    <row r="1012" spans="16:40" x14ac:dyDescent="0.2"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M1012" s="52"/>
      <c r="AN1012" s="52"/>
    </row>
    <row r="1013" spans="16:40" x14ac:dyDescent="0.2"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M1013" s="52"/>
      <c r="AN1013" s="52"/>
    </row>
    <row r="1014" spans="16:40" x14ac:dyDescent="0.2"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M1014" s="52"/>
      <c r="AN1014" s="52"/>
    </row>
    <row r="1015" spans="16:40" x14ac:dyDescent="0.2"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M1015" s="52"/>
      <c r="AN1015" s="52"/>
    </row>
    <row r="1016" spans="16:40" x14ac:dyDescent="0.2"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M1016" s="52"/>
      <c r="AN1016" s="52"/>
    </row>
    <row r="1017" spans="16:40" x14ac:dyDescent="0.2"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M1017" s="52"/>
      <c r="AN1017" s="52"/>
    </row>
    <row r="1018" spans="16:40" x14ac:dyDescent="0.2"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M1018" s="52"/>
      <c r="AN1018" s="52"/>
    </row>
    <row r="1019" spans="16:40" x14ac:dyDescent="0.2"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M1019" s="52"/>
      <c r="AN1019" s="52"/>
    </row>
    <row r="1020" spans="16:40" x14ac:dyDescent="0.2"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M1020" s="52"/>
      <c r="AN1020" s="52"/>
    </row>
    <row r="1021" spans="16:40" x14ac:dyDescent="0.2"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M1021" s="52"/>
      <c r="AN1021" s="52"/>
    </row>
    <row r="1022" spans="16:40" x14ac:dyDescent="0.2"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M1022" s="52"/>
      <c r="AN1022" s="52"/>
    </row>
    <row r="1023" spans="16:40" x14ac:dyDescent="0.2"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M1023" s="52"/>
      <c r="AN1023" s="52"/>
    </row>
    <row r="1024" spans="16:40" x14ac:dyDescent="0.2"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M1024" s="52"/>
      <c r="AN1024" s="52"/>
    </row>
    <row r="1025" spans="16:40" x14ac:dyDescent="0.2"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M1025" s="52"/>
      <c r="AN1025" s="52"/>
    </row>
    <row r="1026" spans="16:40" x14ac:dyDescent="0.2"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M1026" s="52"/>
      <c r="AN1026" s="52"/>
    </row>
    <row r="1027" spans="16:40" x14ac:dyDescent="0.2"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M1027" s="52"/>
      <c r="AN1027" s="52"/>
    </row>
    <row r="1028" spans="16:40" x14ac:dyDescent="0.2"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M1028" s="52"/>
      <c r="AN1028" s="52"/>
    </row>
    <row r="1029" spans="16:40" x14ac:dyDescent="0.2"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M1029" s="52"/>
      <c r="AN1029" s="52"/>
    </row>
    <row r="1030" spans="16:40" x14ac:dyDescent="0.2"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M1030" s="52"/>
      <c r="AN1030" s="52"/>
    </row>
    <row r="1031" spans="16:40" x14ac:dyDescent="0.2"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M1031" s="52"/>
      <c r="AN1031" s="52"/>
    </row>
    <row r="1032" spans="16:40" x14ac:dyDescent="0.2"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M1032" s="52"/>
      <c r="AN1032" s="52"/>
    </row>
    <row r="1033" spans="16:40" x14ac:dyDescent="0.2"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M1033" s="52"/>
      <c r="AN1033" s="52"/>
    </row>
    <row r="1034" spans="16:40" x14ac:dyDescent="0.2"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M1034" s="52"/>
      <c r="AN1034" s="52"/>
    </row>
    <row r="1035" spans="16:40" x14ac:dyDescent="0.2"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M1035" s="52"/>
      <c r="AN1035" s="52"/>
    </row>
    <row r="1036" spans="16:40" x14ac:dyDescent="0.2"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M1036" s="52"/>
      <c r="AN1036" s="52"/>
    </row>
    <row r="1037" spans="16:40" x14ac:dyDescent="0.2"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M1037" s="52"/>
      <c r="AN1037" s="52"/>
    </row>
    <row r="1038" spans="16:40" x14ac:dyDescent="0.2"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M1038" s="52"/>
      <c r="AN1038" s="52"/>
    </row>
    <row r="1039" spans="16:40" x14ac:dyDescent="0.2"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M1039" s="52"/>
      <c r="AN1039" s="52"/>
    </row>
    <row r="1040" spans="16:40" x14ac:dyDescent="0.2"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M1040" s="52"/>
      <c r="AN1040" s="52"/>
    </row>
    <row r="1041" spans="16:40" x14ac:dyDescent="0.2"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M1041" s="52"/>
      <c r="AN1041" s="52"/>
    </row>
    <row r="1042" spans="16:40" x14ac:dyDescent="0.2"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M1042" s="52"/>
      <c r="AN1042" s="52"/>
    </row>
    <row r="1043" spans="16:40" x14ac:dyDescent="0.2"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M1043" s="52"/>
      <c r="AN1043" s="52"/>
    </row>
    <row r="1044" spans="16:40" x14ac:dyDescent="0.2"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M1044" s="52"/>
      <c r="AN1044" s="52"/>
    </row>
    <row r="1045" spans="16:40" x14ac:dyDescent="0.2"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M1045" s="52"/>
      <c r="AN1045" s="52"/>
    </row>
    <row r="1046" spans="16:40" x14ac:dyDescent="0.2"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M1046" s="52"/>
      <c r="AN1046" s="52"/>
    </row>
    <row r="1047" spans="16:40" x14ac:dyDescent="0.2"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M1047" s="52"/>
      <c r="AN1047" s="52"/>
    </row>
    <row r="1048" spans="16:40" x14ac:dyDescent="0.2"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M1048" s="52"/>
      <c r="AN1048" s="52"/>
    </row>
    <row r="1049" spans="16:40" x14ac:dyDescent="0.2"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M1049" s="52"/>
      <c r="AN1049" s="52"/>
    </row>
    <row r="1050" spans="16:40" x14ac:dyDescent="0.2"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M1050" s="52"/>
      <c r="AN1050" s="52"/>
    </row>
    <row r="1051" spans="16:40" x14ac:dyDescent="0.2"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M1051" s="52"/>
      <c r="AN1051" s="52"/>
    </row>
    <row r="1052" spans="16:40" x14ac:dyDescent="0.2"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M1052" s="52"/>
      <c r="AN1052" s="52"/>
    </row>
    <row r="1053" spans="16:40" x14ac:dyDescent="0.2"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M1053" s="52"/>
      <c r="AN1053" s="52"/>
    </row>
    <row r="1054" spans="16:40" x14ac:dyDescent="0.2"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M1054" s="52"/>
      <c r="AN1054" s="52"/>
    </row>
    <row r="1055" spans="16:40" x14ac:dyDescent="0.2"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M1055" s="52"/>
      <c r="AN1055" s="52"/>
    </row>
    <row r="1056" spans="16:40" x14ac:dyDescent="0.2"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M1056" s="52"/>
      <c r="AN1056" s="52"/>
    </row>
    <row r="1057" spans="16:40" x14ac:dyDescent="0.2"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M1057" s="52"/>
      <c r="AN1057" s="52"/>
    </row>
    <row r="1058" spans="16:40" x14ac:dyDescent="0.2"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M1058" s="52"/>
      <c r="AN1058" s="52"/>
    </row>
    <row r="1059" spans="16:40" x14ac:dyDescent="0.2"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M1059" s="52"/>
      <c r="AN1059" s="52"/>
    </row>
    <row r="1060" spans="16:40" x14ac:dyDescent="0.2"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M1060" s="52"/>
      <c r="AN1060" s="52"/>
    </row>
    <row r="1061" spans="16:40" x14ac:dyDescent="0.2"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M1061" s="52"/>
      <c r="AN1061" s="52"/>
    </row>
    <row r="1062" spans="16:40" x14ac:dyDescent="0.2"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M1062" s="52"/>
      <c r="AN1062" s="52"/>
    </row>
    <row r="1063" spans="16:40" x14ac:dyDescent="0.2"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M1063" s="52"/>
      <c r="AN1063" s="52"/>
    </row>
    <row r="1064" spans="16:40" x14ac:dyDescent="0.2"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M1064" s="52"/>
      <c r="AN1064" s="52"/>
    </row>
    <row r="1065" spans="16:40" x14ac:dyDescent="0.2"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M1065" s="52"/>
      <c r="AN1065" s="52"/>
    </row>
    <row r="1066" spans="16:40" x14ac:dyDescent="0.2"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M1066" s="52"/>
      <c r="AN1066" s="52"/>
    </row>
    <row r="1067" spans="16:40" x14ac:dyDescent="0.2"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M1067" s="52"/>
      <c r="AN1067" s="52"/>
    </row>
    <row r="1068" spans="16:40" x14ac:dyDescent="0.2"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M1068" s="52"/>
      <c r="AN1068" s="52"/>
    </row>
    <row r="1069" spans="16:40" x14ac:dyDescent="0.2"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M1069" s="52"/>
      <c r="AN1069" s="52"/>
    </row>
    <row r="1070" spans="16:40" x14ac:dyDescent="0.2"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M1070" s="52"/>
      <c r="AN1070" s="52"/>
    </row>
    <row r="1071" spans="16:40" x14ac:dyDescent="0.2"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M1071" s="52"/>
      <c r="AN1071" s="52"/>
    </row>
    <row r="1072" spans="16:40" x14ac:dyDescent="0.2"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M1072" s="52"/>
      <c r="AN1072" s="52"/>
    </row>
    <row r="1073" spans="16:40" x14ac:dyDescent="0.2"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M1073" s="52"/>
      <c r="AN1073" s="52"/>
    </row>
    <row r="1074" spans="16:40" x14ac:dyDescent="0.2"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M1074" s="52"/>
      <c r="AN1074" s="52"/>
    </row>
    <row r="1075" spans="16:40" x14ac:dyDescent="0.2"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M1075" s="52"/>
      <c r="AN1075" s="52"/>
    </row>
    <row r="1076" spans="16:40" x14ac:dyDescent="0.2"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M1076" s="52"/>
      <c r="AN1076" s="52"/>
    </row>
    <row r="1077" spans="16:40" x14ac:dyDescent="0.2"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M1077" s="52"/>
      <c r="AN1077" s="52"/>
    </row>
    <row r="1078" spans="16:40" x14ac:dyDescent="0.2"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M1078" s="52"/>
      <c r="AN1078" s="52"/>
    </row>
    <row r="1079" spans="16:40" x14ac:dyDescent="0.2"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M1079" s="52"/>
      <c r="AN1079" s="52"/>
    </row>
    <row r="1080" spans="16:40" x14ac:dyDescent="0.2"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M1080" s="52"/>
      <c r="AN1080" s="52"/>
    </row>
    <row r="1081" spans="16:40" x14ac:dyDescent="0.2"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M1081" s="52"/>
      <c r="AN1081" s="52"/>
    </row>
    <row r="1082" spans="16:40" x14ac:dyDescent="0.2"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M1082" s="52"/>
      <c r="AN1082" s="52"/>
    </row>
    <row r="1083" spans="16:40" x14ac:dyDescent="0.2"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M1083" s="52"/>
      <c r="AN1083" s="52"/>
    </row>
    <row r="1084" spans="16:40" x14ac:dyDescent="0.2"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M1084" s="52"/>
      <c r="AN1084" s="52"/>
    </row>
    <row r="1085" spans="16:40" x14ac:dyDescent="0.2"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M1085" s="52"/>
      <c r="AN1085" s="52"/>
    </row>
    <row r="1086" spans="16:40" x14ac:dyDescent="0.2"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M1086" s="52"/>
      <c r="AN1086" s="52"/>
    </row>
    <row r="1087" spans="16:40" x14ac:dyDescent="0.2"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M1087" s="52"/>
      <c r="AN1087" s="52"/>
    </row>
    <row r="1088" spans="16:40" x14ac:dyDescent="0.2"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M1088" s="52"/>
      <c r="AN1088" s="52"/>
    </row>
    <row r="1089" spans="16:40" x14ac:dyDescent="0.2"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M1089" s="52"/>
      <c r="AN1089" s="52"/>
    </row>
    <row r="1090" spans="16:40" x14ac:dyDescent="0.2"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M1090" s="52"/>
      <c r="AN1090" s="52"/>
    </row>
    <row r="1091" spans="16:40" x14ac:dyDescent="0.2"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M1091" s="52"/>
      <c r="AN1091" s="52"/>
    </row>
    <row r="1092" spans="16:40" x14ac:dyDescent="0.2"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M1092" s="52"/>
      <c r="AN1092" s="52"/>
    </row>
    <row r="1093" spans="16:40" x14ac:dyDescent="0.2"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M1093" s="52"/>
      <c r="AN1093" s="52"/>
    </row>
    <row r="1094" spans="16:40" x14ac:dyDescent="0.2"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M1094" s="52"/>
      <c r="AN1094" s="52"/>
    </row>
    <row r="1095" spans="16:40" x14ac:dyDescent="0.2"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M1095" s="52"/>
      <c r="AN1095" s="52"/>
    </row>
    <row r="1096" spans="16:40" x14ac:dyDescent="0.2"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M1096" s="52"/>
      <c r="AN1096" s="52"/>
    </row>
    <row r="1097" spans="16:40" x14ac:dyDescent="0.2"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M1097" s="52"/>
      <c r="AN1097" s="52"/>
    </row>
    <row r="1098" spans="16:40" x14ac:dyDescent="0.2"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M1098" s="52"/>
      <c r="AN1098" s="52"/>
    </row>
    <row r="1099" spans="16:40" x14ac:dyDescent="0.2"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M1099" s="52"/>
      <c r="AN1099" s="52"/>
    </row>
    <row r="1100" spans="16:40" x14ac:dyDescent="0.2"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M1100" s="52"/>
      <c r="AN1100" s="52"/>
    </row>
    <row r="1101" spans="16:40" x14ac:dyDescent="0.2"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M1101" s="52"/>
      <c r="AN1101" s="52"/>
    </row>
    <row r="1102" spans="16:40" x14ac:dyDescent="0.2"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M1102" s="52"/>
      <c r="AN1102" s="52"/>
    </row>
    <row r="1103" spans="16:40" x14ac:dyDescent="0.2"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M1103" s="52"/>
      <c r="AN1103" s="52"/>
    </row>
    <row r="1104" spans="16:40" x14ac:dyDescent="0.2"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M1104" s="52"/>
      <c r="AN1104" s="52"/>
    </row>
    <row r="1105" spans="16:40" x14ac:dyDescent="0.2"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M1105" s="52"/>
      <c r="AN1105" s="52"/>
    </row>
    <row r="1106" spans="16:40" x14ac:dyDescent="0.2"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M1106" s="52"/>
      <c r="AN1106" s="52"/>
    </row>
    <row r="1107" spans="16:40" x14ac:dyDescent="0.2"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M1107" s="52"/>
      <c r="AN1107" s="52"/>
    </row>
    <row r="1108" spans="16:40" x14ac:dyDescent="0.2"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M1108" s="52"/>
      <c r="AN1108" s="52"/>
    </row>
    <row r="1109" spans="16:40" x14ac:dyDescent="0.2"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M1109" s="52"/>
      <c r="AN1109" s="52"/>
    </row>
    <row r="1110" spans="16:40" x14ac:dyDescent="0.2"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M1110" s="52"/>
      <c r="AN1110" s="52"/>
    </row>
    <row r="1111" spans="16:40" x14ac:dyDescent="0.2"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M1111" s="52"/>
      <c r="AN1111" s="52"/>
    </row>
    <row r="1112" spans="16:40" x14ac:dyDescent="0.2"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M1112" s="52"/>
      <c r="AN1112" s="52"/>
    </row>
    <row r="1113" spans="16:40" x14ac:dyDescent="0.2"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M1113" s="52"/>
      <c r="AN1113" s="52"/>
    </row>
    <row r="1114" spans="16:40" x14ac:dyDescent="0.2"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M1114" s="52"/>
      <c r="AN1114" s="52"/>
    </row>
    <row r="1115" spans="16:40" x14ac:dyDescent="0.2"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M1115" s="52"/>
      <c r="AN1115" s="52"/>
    </row>
    <row r="1116" spans="16:40" x14ac:dyDescent="0.2"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M1116" s="52"/>
      <c r="AN1116" s="52"/>
    </row>
    <row r="1117" spans="16:40" x14ac:dyDescent="0.2"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M1117" s="52"/>
      <c r="AN1117" s="52"/>
    </row>
    <row r="1118" spans="16:40" x14ac:dyDescent="0.2"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M1118" s="52"/>
      <c r="AN1118" s="52"/>
    </row>
    <row r="1119" spans="16:40" x14ac:dyDescent="0.2"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M1119" s="52"/>
      <c r="AN1119" s="52"/>
    </row>
    <row r="1120" spans="16:40" x14ac:dyDescent="0.2"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M1120" s="52"/>
      <c r="AN1120" s="52"/>
    </row>
    <row r="1121" spans="16:40" x14ac:dyDescent="0.2"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M1121" s="52"/>
      <c r="AN1121" s="52"/>
    </row>
    <row r="1122" spans="16:40" x14ac:dyDescent="0.2"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M1122" s="52"/>
      <c r="AN1122" s="52"/>
    </row>
    <row r="1123" spans="16:40" x14ac:dyDescent="0.2"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M1123" s="52"/>
      <c r="AN1123" s="52"/>
    </row>
    <row r="1124" spans="16:40" x14ac:dyDescent="0.2"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M1124" s="52"/>
      <c r="AN1124" s="52"/>
    </row>
    <row r="1125" spans="16:40" x14ac:dyDescent="0.2"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M1125" s="52"/>
      <c r="AN1125" s="52"/>
    </row>
    <row r="1126" spans="16:40" x14ac:dyDescent="0.2"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M1126" s="52"/>
      <c r="AN1126" s="52"/>
    </row>
    <row r="1127" spans="16:40" x14ac:dyDescent="0.2"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M1127" s="52"/>
      <c r="AN1127" s="52"/>
    </row>
    <row r="1128" spans="16:40" x14ac:dyDescent="0.2"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M1128" s="52"/>
      <c r="AN1128" s="52"/>
    </row>
    <row r="1129" spans="16:40" x14ac:dyDescent="0.2"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M1129" s="52"/>
      <c r="AN1129" s="52"/>
    </row>
    <row r="1130" spans="16:40" x14ac:dyDescent="0.2"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M1130" s="52"/>
      <c r="AN1130" s="52"/>
    </row>
    <row r="1131" spans="16:40" x14ac:dyDescent="0.2"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M1131" s="52"/>
      <c r="AN1131" s="52"/>
    </row>
    <row r="1132" spans="16:40" x14ac:dyDescent="0.2"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M1132" s="52"/>
      <c r="AN1132" s="52"/>
    </row>
    <row r="1133" spans="16:40" x14ac:dyDescent="0.2"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M1133" s="52"/>
      <c r="AN1133" s="52"/>
    </row>
    <row r="1134" spans="16:40" x14ac:dyDescent="0.2"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M1134" s="52"/>
      <c r="AN1134" s="52"/>
    </row>
    <row r="1135" spans="16:40" x14ac:dyDescent="0.2"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M1135" s="52"/>
      <c r="AN1135" s="52"/>
    </row>
    <row r="1136" spans="16:40" x14ac:dyDescent="0.2"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M1136" s="52"/>
      <c r="AN1136" s="52"/>
    </row>
    <row r="1137" spans="16:40" x14ac:dyDescent="0.2"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M1137" s="52"/>
      <c r="AN1137" s="52"/>
    </row>
    <row r="1138" spans="16:40" x14ac:dyDescent="0.2"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M1138" s="52"/>
      <c r="AN1138" s="52"/>
    </row>
    <row r="1139" spans="16:40" x14ac:dyDescent="0.2"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M1139" s="52"/>
      <c r="AN1139" s="52"/>
    </row>
    <row r="1140" spans="16:40" x14ac:dyDescent="0.2"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M1140" s="52"/>
      <c r="AN1140" s="52"/>
    </row>
    <row r="1141" spans="16:40" x14ac:dyDescent="0.2"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M1141" s="52"/>
      <c r="AN1141" s="52"/>
    </row>
    <row r="1142" spans="16:40" x14ac:dyDescent="0.2"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M1142" s="52"/>
      <c r="AN1142" s="52"/>
    </row>
    <row r="1143" spans="16:40" x14ac:dyDescent="0.2"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M1143" s="52"/>
      <c r="AN1143" s="52"/>
    </row>
    <row r="1144" spans="16:40" x14ac:dyDescent="0.2"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M1144" s="52"/>
      <c r="AN1144" s="52"/>
    </row>
    <row r="1145" spans="16:40" x14ac:dyDescent="0.2"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M1145" s="52"/>
      <c r="AN1145" s="52"/>
    </row>
    <row r="1146" spans="16:40" x14ac:dyDescent="0.2"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M1146" s="52"/>
      <c r="AN1146" s="52"/>
    </row>
    <row r="1147" spans="16:40" x14ac:dyDescent="0.2"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M1147" s="52"/>
      <c r="AN1147" s="52"/>
    </row>
    <row r="1148" spans="16:40" x14ac:dyDescent="0.2"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M1148" s="52"/>
      <c r="AN1148" s="52"/>
    </row>
    <row r="1149" spans="16:40" x14ac:dyDescent="0.2"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M1149" s="52"/>
      <c r="AN1149" s="52"/>
    </row>
    <row r="1150" spans="16:40" x14ac:dyDescent="0.2"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M1150" s="52"/>
      <c r="AN1150" s="52"/>
    </row>
    <row r="1151" spans="16:40" x14ac:dyDescent="0.2"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M1151" s="52"/>
      <c r="AN1151" s="52"/>
    </row>
    <row r="1152" spans="16:40" x14ac:dyDescent="0.2"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M1152" s="52"/>
      <c r="AN1152" s="52"/>
    </row>
    <row r="1153" spans="16:40" x14ac:dyDescent="0.2"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M1153" s="52"/>
      <c r="AN1153" s="52"/>
    </row>
    <row r="1154" spans="16:40" x14ac:dyDescent="0.2"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M1154" s="52"/>
      <c r="AN1154" s="52"/>
    </row>
    <row r="1155" spans="16:40" x14ac:dyDescent="0.2"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M1155" s="52"/>
      <c r="AN1155" s="52"/>
    </row>
    <row r="1156" spans="16:40" x14ac:dyDescent="0.2"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M1156" s="52"/>
      <c r="AN1156" s="52"/>
    </row>
    <row r="1157" spans="16:40" x14ac:dyDescent="0.2"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M1157" s="52"/>
      <c r="AN1157" s="52"/>
    </row>
    <row r="1158" spans="16:40" x14ac:dyDescent="0.2"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M1158" s="52"/>
      <c r="AN1158" s="52"/>
    </row>
    <row r="1159" spans="16:40" x14ac:dyDescent="0.2"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M1159" s="52"/>
      <c r="AN1159" s="52"/>
    </row>
    <row r="1160" spans="16:40" x14ac:dyDescent="0.2"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M1160" s="52"/>
      <c r="AN1160" s="52"/>
    </row>
    <row r="1161" spans="16:40" x14ac:dyDescent="0.2"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M1161" s="52"/>
      <c r="AN1161" s="52"/>
    </row>
    <row r="1162" spans="16:40" x14ac:dyDescent="0.2"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M1162" s="52"/>
      <c r="AN1162" s="52"/>
    </row>
    <row r="1163" spans="16:40" x14ac:dyDescent="0.2"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M1163" s="52"/>
      <c r="AN1163" s="52"/>
    </row>
    <row r="1164" spans="16:40" x14ac:dyDescent="0.2"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M1164" s="52"/>
      <c r="AN1164" s="52"/>
    </row>
    <row r="1165" spans="16:40" x14ac:dyDescent="0.2"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M1165" s="52"/>
      <c r="AN1165" s="52"/>
    </row>
    <row r="1166" spans="16:40" x14ac:dyDescent="0.2"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M1166" s="52"/>
      <c r="AN1166" s="52"/>
    </row>
    <row r="1167" spans="16:40" x14ac:dyDescent="0.2"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M1167" s="52"/>
      <c r="AN1167" s="52"/>
    </row>
    <row r="1168" spans="16:40" x14ac:dyDescent="0.2"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M1168" s="52"/>
      <c r="AN1168" s="52"/>
    </row>
    <row r="1169" spans="16:40" x14ac:dyDescent="0.2"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M1169" s="52"/>
      <c r="AN1169" s="52"/>
    </row>
    <row r="1170" spans="16:40" x14ac:dyDescent="0.2"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M1170" s="52"/>
      <c r="AN1170" s="52"/>
    </row>
    <row r="1171" spans="16:40" x14ac:dyDescent="0.2"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M1171" s="52"/>
      <c r="AN1171" s="52"/>
    </row>
    <row r="1172" spans="16:40" x14ac:dyDescent="0.2"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M1172" s="52"/>
      <c r="AN1172" s="52"/>
    </row>
    <row r="1173" spans="16:40" x14ac:dyDescent="0.2"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M1173" s="52"/>
      <c r="AN1173" s="52"/>
    </row>
    <row r="1174" spans="16:40" x14ac:dyDescent="0.2"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M1174" s="52"/>
      <c r="AN1174" s="52"/>
    </row>
    <row r="1175" spans="16:40" x14ac:dyDescent="0.2"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M1175" s="52"/>
      <c r="AN1175" s="52"/>
    </row>
    <row r="1176" spans="16:40" x14ac:dyDescent="0.2"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M1176" s="52"/>
      <c r="AN1176" s="52"/>
    </row>
    <row r="1177" spans="16:40" x14ac:dyDescent="0.2"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M1177" s="52"/>
      <c r="AN1177" s="52"/>
    </row>
    <row r="1178" spans="16:40" x14ac:dyDescent="0.2"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M1178" s="52"/>
      <c r="AN1178" s="52"/>
    </row>
    <row r="1179" spans="16:40" x14ac:dyDescent="0.2"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M1179" s="52"/>
      <c r="AN1179" s="52"/>
    </row>
    <row r="1180" spans="16:40" x14ac:dyDescent="0.2"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M1180" s="52"/>
      <c r="AN1180" s="52"/>
    </row>
    <row r="1181" spans="16:40" x14ac:dyDescent="0.2"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M1181" s="52"/>
      <c r="AN1181" s="52"/>
    </row>
    <row r="1182" spans="16:40" x14ac:dyDescent="0.2"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M1182" s="52"/>
      <c r="AN1182" s="52"/>
    </row>
    <row r="1183" spans="16:40" x14ac:dyDescent="0.2"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M1183" s="52"/>
      <c r="AN1183" s="52"/>
    </row>
    <row r="1184" spans="16:40" x14ac:dyDescent="0.2"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M1184" s="52"/>
      <c r="AN1184" s="52"/>
    </row>
    <row r="1185" spans="16:40" x14ac:dyDescent="0.2"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M1185" s="52"/>
      <c r="AN1185" s="52"/>
    </row>
    <row r="1186" spans="16:40" x14ac:dyDescent="0.2"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M1186" s="52"/>
      <c r="AN1186" s="52"/>
    </row>
    <row r="1187" spans="16:40" x14ac:dyDescent="0.2"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M1187" s="52"/>
      <c r="AN1187" s="52"/>
    </row>
    <row r="1188" spans="16:40" x14ac:dyDescent="0.2"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M1188" s="52"/>
      <c r="AN1188" s="52"/>
    </row>
    <row r="1189" spans="16:40" x14ac:dyDescent="0.2"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M1189" s="52"/>
      <c r="AN1189" s="52"/>
    </row>
    <row r="1190" spans="16:40" x14ac:dyDescent="0.2"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M1190" s="52"/>
      <c r="AN1190" s="52"/>
    </row>
    <row r="1191" spans="16:40" x14ac:dyDescent="0.2"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M1191" s="52"/>
      <c r="AN1191" s="52"/>
    </row>
    <row r="1192" spans="16:40" x14ac:dyDescent="0.2"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M1192" s="52"/>
      <c r="AN1192" s="52"/>
    </row>
    <row r="1193" spans="16:40" x14ac:dyDescent="0.2"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M1193" s="52"/>
      <c r="AN1193" s="52"/>
    </row>
    <row r="1194" spans="16:40" x14ac:dyDescent="0.2"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M1194" s="52"/>
      <c r="AN1194" s="52"/>
    </row>
    <row r="1195" spans="16:40" x14ac:dyDescent="0.2"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M1195" s="52"/>
      <c r="AN1195" s="52"/>
    </row>
    <row r="1196" spans="16:40" x14ac:dyDescent="0.2"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M1196" s="52"/>
      <c r="AN1196" s="52"/>
    </row>
    <row r="1197" spans="16:40" x14ac:dyDescent="0.2"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M1197" s="52"/>
      <c r="AN1197" s="52"/>
    </row>
    <row r="1198" spans="16:40" x14ac:dyDescent="0.2"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M1198" s="52"/>
      <c r="AN1198" s="52"/>
    </row>
    <row r="1199" spans="16:40" x14ac:dyDescent="0.2"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M1199" s="52"/>
      <c r="AN1199" s="52"/>
    </row>
    <row r="1200" spans="16:40" x14ac:dyDescent="0.2"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M1200" s="52"/>
      <c r="AN1200" s="52"/>
    </row>
    <row r="1201" spans="16:40" x14ac:dyDescent="0.2"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M1201" s="52"/>
      <c r="AN1201" s="52"/>
    </row>
    <row r="1202" spans="16:40" x14ac:dyDescent="0.2"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M1202" s="52"/>
      <c r="AN1202" s="52"/>
    </row>
    <row r="1203" spans="16:40" x14ac:dyDescent="0.2"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M1203" s="52"/>
      <c r="AN1203" s="52"/>
    </row>
    <row r="1204" spans="16:40" x14ac:dyDescent="0.2"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M1204" s="52"/>
      <c r="AN1204" s="52"/>
    </row>
    <row r="1205" spans="16:40" x14ac:dyDescent="0.2"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M1205" s="52"/>
      <c r="AN1205" s="52"/>
    </row>
    <row r="1206" spans="16:40" x14ac:dyDescent="0.2"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M1206" s="52"/>
      <c r="AN1206" s="52"/>
    </row>
    <row r="1207" spans="16:40" x14ac:dyDescent="0.2"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M1207" s="52"/>
      <c r="AN1207" s="52"/>
    </row>
    <row r="1208" spans="16:40" x14ac:dyDescent="0.2"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M1208" s="52"/>
      <c r="AN1208" s="52"/>
    </row>
    <row r="1209" spans="16:40" x14ac:dyDescent="0.2"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M1209" s="52"/>
      <c r="AN1209" s="52"/>
    </row>
    <row r="1210" spans="16:40" x14ac:dyDescent="0.2"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M1210" s="52"/>
      <c r="AN1210" s="52"/>
    </row>
    <row r="1211" spans="16:40" x14ac:dyDescent="0.2"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M1211" s="52"/>
      <c r="AN1211" s="52"/>
    </row>
    <row r="1212" spans="16:40" x14ac:dyDescent="0.2"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M1212" s="52"/>
      <c r="AN1212" s="52"/>
    </row>
    <row r="1213" spans="16:40" x14ac:dyDescent="0.2"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M1213" s="52"/>
      <c r="AN1213" s="52"/>
    </row>
    <row r="1214" spans="16:40" x14ac:dyDescent="0.2"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M1214" s="52"/>
      <c r="AN1214" s="52"/>
    </row>
    <row r="1215" spans="16:40" x14ac:dyDescent="0.2"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M1215" s="52"/>
      <c r="AN1215" s="52"/>
    </row>
    <row r="1216" spans="16:40" x14ac:dyDescent="0.2"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M1216" s="52"/>
      <c r="AN1216" s="52"/>
    </row>
    <row r="1217" spans="16:40" x14ac:dyDescent="0.2"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M1217" s="52"/>
      <c r="AN1217" s="52"/>
    </row>
    <row r="1218" spans="16:40" x14ac:dyDescent="0.2"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M1218" s="52"/>
      <c r="AN1218" s="52"/>
    </row>
    <row r="1219" spans="16:40" x14ac:dyDescent="0.2"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M1219" s="52"/>
      <c r="AN1219" s="52"/>
    </row>
    <row r="1220" spans="16:40" x14ac:dyDescent="0.2"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M1220" s="52"/>
      <c r="AN1220" s="52"/>
    </row>
    <row r="1221" spans="16:40" x14ac:dyDescent="0.2"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M1221" s="52"/>
      <c r="AN1221" s="52"/>
    </row>
    <row r="1222" spans="16:40" x14ac:dyDescent="0.2"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M1222" s="52"/>
      <c r="AN1222" s="52"/>
    </row>
    <row r="1223" spans="16:40" x14ac:dyDescent="0.2"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M1223" s="52"/>
      <c r="AN1223" s="52"/>
    </row>
    <row r="1224" spans="16:40" x14ac:dyDescent="0.2"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M1224" s="52"/>
      <c r="AN1224" s="52"/>
    </row>
    <row r="1225" spans="16:40" x14ac:dyDescent="0.2"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M1225" s="52"/>
      <c r="AN1225" s="52"/>
    </row>
    <row r="1226" spans="16:40" x14ac:dyDescent="0.2"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M1226" s="52"/>
      <c r="AN1226" s="52"/>
    </row>
    <row r="1227" spans="16:40" x14ac:dyDescent="0.2"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M1227" s="52"/>
      <c r="AN1227" s="52"/>
    </row>
    <row r="1228" spans="16:40" x14ac:dyDescent="0.2"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M1228" s="52"/>
      <c r="AN1228" s="52"/>
    </row>
    <row r="1229" spans="16:40" x14ac:dyDescent="0.2"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M1229" s="52"/>
      <c r="AN1229" s="52"/>
    </row>
    <row r="1230" spans="16:40" x14ac:dyDescent="0.2"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M1230" s="52"/>
      <c r="AN1230" s="52"/>
    </row>
    <row r="1231" spans="16:40" x14ac:dyDescent="0.2"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M1231" s="52"/>
      <c r="AN1231" s="52"/>
    </row>
    <row r="1232" spans="16:40" x14ac:dyDescent="0.2"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M1232" s="52"/>
      <c r="AN1232" s="52"/>
    </row>
    <row r="1233" spans="16:40" x14ac:dyDescent="0.2"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M1233" s="52"/>
      <c r="AN1233" s="52"/>
    </row>
    <row r="1234" spans="16:40" x14ac:dyDescent="0.2"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M1234" s="52"/>
      <c r="AN1234" s="52"/>
    </row>
    <row r="1235" spans="16:40" x14ac:dyDescent="0.2"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M1235" s="52"/>
      <c r="AN1235" s="52"/>
    </row>
    <row r="1236" spans="16:40" x14ac:dyDescent="0.2"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M1236" s="52"/>
      <c r="AN1236" s="52"/>
    </row>
    <row r="1237" spans="16:40" x14ac:dyDescent="0.2"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M1237" s="52"/>
      <c r="AN1237" s="52"/>
    </row>
    <row r="1238" spans="16:40" x14ac:dyDescent="0.2"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M1238" s="52"/>
      <c r="AN1238" s="52"/>
    </row>
    <row r="1239" spans="16:40" x14ac:dyDescent="0.2"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M1239" s="52"/>
      <c r="AN1239" s="52"/>
    </row>
    <row r="1240" spans="16:40" x14ac:dyDescent="0.2"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M1240" s="52"/>
      <c r="AN1240" s="52"/>
    </row>
    <row r="1241" spans="16:40" x14ac:dyDescent="0.2"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M1241" s="52"/>
      <c r="AN1241" s="52"/>
    </row>
    <row r="1242" spans="16:40" x14ac:dyDescent="0.2"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M1242" s="52"/>
      <c r="AN1242" s="52"/>
    </row>
    <row r="1243" spans="16:40" x14ac:dyDescent="0.2"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M1243" s="52"/>
      <c r="AN1243" s="52"/>
    </row>
    <row r="1244" spans="16:40" x14ac:dyDescent="0.2"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M1244" s="52"/>
      <c r="AN1244" s="52"/>
    </row>
    <row r="1245" spans="16:40" x14ac:dyDescent="0.2"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M1245" s="52"/>
      <c r="AN1245" s="52"/>
    </row>
    <row r="1246" spans="16:40" x14ac:dyDescent="0.2"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M1246" s="52"/>
      <c r="AN1246" s="52"/>
    </row>
    <row r="1247" spans="16:40" x14ac:dyDescent="0.2"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M1247" s="52"/>
      <c r="AN1247" s="52"/>
    </row>
    <row r="1248" spans="16:40" x14ac:dyDescent="0.2"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M1248" s="52"/>
      <c r="AN1248" s="52"/>
    </row>
    <row r="1249" spans="16:40" x14ac:dyDescent="0.2"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M1249" s="52"/>
      <c r="AN1249" s="52"/>
    </row>
    <row r="1250" spans="16:40" x14ac:dyDescent="0.2"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M1250" s="52"/>
      <c r="AN1250" s="52"/>
    </row>
    <row r="1251" spans="16:40" x14ac:dyDescent="0.2"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M1251" s="52"/>
      <c r="AN1251" s="52"/>
    </row>
    <row r="1252" spans="16:40" x14ac:dyDescent="0.2"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M1252" s="52"/>
      <c r="AN1252" s="52"/>
    </row>
    <row r="1253" spans="16:40" x14ac:dyDescent="0.2"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M1253" s="52"/>
      <c r="AN1253" s="52"/>
    </row>
    <row r="1254" spans="16:40" x14ac:dyDescent="0.2"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M1254" s="52"/>
      <c r="AN1254" s="52"/>
    </row>
    <row r="1255" spans="16:40" x14ac:dyDescent="0.2"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M1255" s="52"/>
      <c r="AN1255" s="52"/>
    </row>
    <row r="1256" spans="16:40" x14ac:dyDescent="0.2"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M1256" s="52"/>
      <c r="AN1256" s="52"/>
    </row>
    <row r="1257" spans="16:40" x14ac:dyDescent="0.2"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M1257" s="52"/>
      <c r="AN1257" s="52"/>
    </row>
    <row r="1258" spans="16:40" x14ac:dyDescent="0.2"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M1258" s="52"/>
      <c r="AN1258" s="52"/>
    </row>
    <row r="1259" spans="16:40" x14ac:dyDescent="0.2"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M1259" s="52"/>
      <c r="AN1259" s="52"/>
    </row>
    <row r="1260" spans="16:40" x14ac:dyDescent="0.2"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M1260" s="52"/>
      <c r="AN1260" s="52"/>
    </row>
    <row r="1261" spans="16:40" x14ac:dyDescent="0.2"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M1261" s="52"/>
      <c r="AN1261" s="52"/>
    </row>
    <row r="1262" spans="16:40" x14ac:dyDescent="0.2"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M1262" s="52"/>
      <c r="AN1262" s="52"/>
    </row>
    <row r="1263" spans="16:40" x14ac:dyDescent="0.2"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M1263" s="52"/>
      <c r="AN1263" s="52"/>
    </row>
    <row r="1264" spans="16:40" x14ac:dyDescent="0.2"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M1264" s="52"/>
      <c r="AN1264" s="52"/>
    </row>
    <row r="1265" spans="16:40" x14ac:dyDescent="0.2"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M1265" s="52"/>
      <c r="AN1265" s="52"/>
    </row>
    <row r="1266" spans="16:40" x14ac:dyDescent="0.2"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M1266" s="52"/>
      <c r="AN1266" s="52"/>
    </row>
    <row r="1267" spans="16:40" x14ac:dyDescent="0.2"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M1267" s="52"/>
      <c r="AN1267" s="52"/>
    </row>
    <row r="1268" spans="16:40" x14ac:dyDescent="0.2"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M1268" s="52"/>
      <c r="AN1268" s="52"/>
    </row>
    <row r="1269" spans="16:40" x14ac:dyDescent="0.2"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M1269" s="52"/>
      <c r="AN1269" s="52"/>
    </row>
    <row r="1270" spans="16:40" x14ac:dyDescent="0.2"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M1270" s="52"/>
      <c r="AN1270" s="52"/>
    </row>
    <row r="1271" spans="16:40" x14ac:dyDescent="0.2"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M1271" s="52"/>
      <c r="AN1271" s="52"/>
    </row>
    <row r="1272" spans="16:40" x14ac:dyDescent="0.2"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M1272" s="52"/>
      <c r="AN1272" s="52"/>
    </row>
    <row r="1273" spans="16:40" x14ac:dyDescent="0.2"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M1273" s="52"/>
      <c r="AN1273" s="52"/>
    </row>
    <row r="1274" spans="16:40" x14ac:dyDescent="0.2"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M1274" s="52"/>
      <c r="AN1274" s="52"/>
    </row>
    <row r="1275" spans="16:40" x14ac:dyDescent="0.2"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M1275" s="52"/>
      <c r="AN1275" s="52"/>
    </row>
    <row r="1276" spans="16:40" x14ac:dyDescent="0.2"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M1276" s="52"/>
      <c r="AN1276" s="52"/>
    </row>
    <row r="1277" spans="16:40" x14ac:dyDescent="0.2"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M1277" s="52"/>
      <c r="AN1277" s="52"/>
    </row>
    <row r="1278" spans="16:40" x14ac:dyDescent="0.2"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M1278" s="52"/>
      <c r="AN1278" s="52"/>
    </row>
    <row r="1279" spans="16:40" x14ac:dyDescent="0.2"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M1279" s="52"/>
      <c r="AN1279" s="52"/>
    </row>
    <row r="1280" spans="16:40" x14ac:dyDescent="0.2"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M1280" s="52"/>
      <c r="AN1280" s="52"/>
    </row>
    <row r="1281" spans="16:40" x14ac:dyDescent="0.2"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M1281" s="52"/>
      <c r="AN1281" s="52"/>
    </row>
    <row r="1282" spans="16:40" x14ac:dyDescent="0.2"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M1282" s="52"/>
      <c r="AN1282" s="52"/>
    </row>
    <row r="1283" spans="16:40" x14ac:dyDescent="0.2"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M1283" s="52"/>
      <c r="AN1283" s="52"/>
    </row>
    <row r="1284" spans="16:40" x14ac:dyDescent="0.2"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M1284" s="52"/>
      <c r="AN1284" s="52"/>
    </row>
    <row r="1285" spans="16:40" x14ac:dyDescent="0.2"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M1285" s="52"/>
      <c r="AN1285" s="52"/>
    </row>
    <row r="1286" spans="16:40" x14ac:dyDescent="0.2"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M1286" s="52"/>
      <c r="AN1286" s="52"/>
    </row>
    <row r="1287" spans="16:40" x14ac:dyDescent="0.2"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M1287" s="52"/>
      <c r="AN1287" s="52"/>
    </row>
    <row r="1288" spans="16:40" x14ac:dyDescent="0.2"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M1288" s="52"/>
      <c r="AN1288" s="52"/>
    </row>
    <row r="1289" spans="16:40" x14ac:dyDescent="0.2"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M1289" s="52"/>
      <c r="AN1289" s="52"/>
    </row>
    <row r="1290" spans="16:40" x14ac:dyDescent="0.2"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M1290" s="52"/>
      <c r="AN1290" s="52"/>
    </row>
    <row r="1291" spans="16:40" x14ac:dyDescent="0.2"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M1291" s="52"/>
      <c r="AN1291" s="52"/>
    </row>
    <row r="1292" spans="16:40" x14ac:dyDescent="0.2"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M1292" s="52"/>
      <c r="AN1292" s="52"/>
    </row>
    <row r="1293" spans="16:40" x14ac:dyDescent="0.2"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M1293" s="52"/>
      <c r="AN1293" s="52"/>
    </row>
    <row r="1294" spans="16:40" x14ac:dyDescent="0.2"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M1294" s="52"/>
      <c r="AN1294" s="52"/>
    </row>
    <row r="1295" spans="16:40" x14ac:dyDescent="0.2"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M1295" s="52"/>
      <c r="AN1295" s="52"/>
    </row>
    <row r="1296" spans="16:40" x14ac:dyDescent="0.2"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M1296" s="52"/>
      <c r="AN1296" s="52"/>
    </row>
    <row r="1297" spans="16:40" x14ac:dyDescent="0.2"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M1297" s="52"/>
      <c r="AN1297" s="52"/>
    </row>
    <row r="1298" spans="16:40" x14ac:dyDescent="0.2"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M1298" s="52"/>
      <c r="AN1298" s="52"/>
    </row>
    <row r="1299" spans="16:40" x14ac:dyDescent="0.2"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M1299" s="52"/>
      <c r="AN1299" s="52"/>
    </row>
    <row r="1300" spans="16:40" x14ac:dyDescent="0.2"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M1300" s="52"/>
      <c r="AN1300" s="52"/>
    </row>
    <row r="1301" spans="16:40" x14ac:dyDescent="0.2"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M1301" s="52"/>
      <c r="AN1301" s="52"/>
    </row>
    <row r="1302" spans="16:40" x14ac:dyDescent="0.2"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M1302" s="52"/>
      <c r="AN1302" s="52"/>
    </row>
    <row r="1303" spans="16:40" x14ac:dyDescent="0.2"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M1303" s="52"/>
      <c r="AN1303" s="52"/>
    </row>
    <row r="1304" spans="16:40" x14ac:dyDescent="0.2"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M1304" s="52"/>
      <c r="AN1304" s="52"/>
    </row>
    <row r="1305" spans="16:40" x14ac:dyDescent="0.2"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M1305" s="52"/>
      <c r="AN1305" s="52"/>
    </row>
    <row r="1306" spans="16:40" x14ac:dyDescent="0.2"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M1306" s="52"/>
      <c r="AN1306" s="52"/>
    </row>
    <row r="1307" spans="16:40" x14ac:dyDescent="0.2"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M1307" s="52"/>
      <c r="AN1307" s="52"/>
    </row>
    <row r="1308" spans="16:40" x14ac:dyDescent="0.2"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M1308" s="52"/>
      <c r="AN1308" s="52"/>
    </row>
    <row r="1309" spans="16:40" x14ac:dyDescent="0.2"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M1309" s="52"/>
      <c r="AN1309" s="52"/>
    </row>
    <row r="1310" spans="16:40" x14ac:dyDescent="0.2"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M1310" s="52"/>
      <c r="AN1310" s="52"/>
    </row>
    <row r="1311" spans="16:40" x14ac:dyDescent="0.2"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M1311" s="52"/>
      <c r="AN1311" s="52"/>
    </row>
    <row r="1312" spans="16:40" x14ac:dyDescent="0.2"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M1312" s="52"/>
      <c r="AN1312" s="52"/>
    </row>
    <row r="1313" spans="16:40" x14ac:dyDescent="0.2"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M1313" s="52"/>
      <c r="AN1313" s="52"/>
    </row>
    <row r="1314" spans="16:40" x14ac:dyDescent="0.2"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M1314" s="52"/>
      <c r="AN1314" s="52"/>
    </row>
    <row r="1315" spans="16:40" x14ac:dyDescent="0.2"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M1315" s="52"/>
      <c r="AN1315" s="52"/>
    </row>
    <row r="1316" spans="16:40" x14ac:dyDescent="0.2"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M1316" s="52"/>
      <c r="AN1316" s="52"/>
    </row>
    <row r="1317" spans="16:40" x14ac:dyDescent="0.2"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M1317" s="52"/>
      <c r="AN1317" s="52"/>
    </row>
    <row r="1318" spans="16:40" x14ac:dyDescent="0.2"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M1318" s="52"/>
      <c r="AN1318" s="52"/>
    </row>
    <row r="1319" spans="16:40" x14ac:dyDescent="0.2"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M1319" s="52"/>
      <c r="AN1319" s="52"/>
    </row>
    <row r="1320" spans="16:40" x14ac:dyDescent="0.2"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M1320" s="52"/>
      <c r="AN1320" s="52"/>
    </row>
    <row r="1321" spans="16:40" x14ac:dyDescent="0.2"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M1321" s="52"/>
      <c r="AN1321" s="52"/>
    </row>
    <row r="1322" spans="16:40" x14ac:dyDescent="0.2"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M1322" s="52"/>
      <c r="AN1322" s="52"/>
    </row>
    <row r="1323" spans="16:40" x14ac:dyDescent="0.2"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M1323" s="52"/>
      <c r="AN1323" s="52"/>
    </row>
    <row r="1324" spans="16:40" x14ac:dyDescent="0.2"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M1324" s="52"/>
      <c r="AN1324" s="52"/>
    </row>
    <row r="1325" spans="16:40" x14ac:dyDescent="0.2"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M1325" s="52"/>
      <c r="AN1325" s="52"/>
    </row>
    <row r="1326" spans="16:40" x14ac:dyDescent="0.2"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M1326" s="52"/>
      <c r="AN1326" s="52"/>
    </row>
    <row r="1327" spans="16:40" x14ac:dyDescent="0.2"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M1327" s="52"/>
      <c r="AN1327" s="52"/>
    </row>
    <row r="1328" spans="16:40" x14ac:dyDescent="0.2"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M1328" s="52"/>
      <c r="AN1328" s="52"/>
    </row>
    <row r="1329" spans="16:40" x14ac:dyDescent="0.2"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M1329" s="52"/>
      <c r="AN1329" s="52"/>
    </row>
    <row r="1330" spans="16:40" x14ac:dyDescent="0.2"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M1330" s="52"/>
      <c r="AN1330" s="52"/>
    </row>
    <row r="1331" spans="16:40" x14ac:dyDescent="0.2"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M1331" s="52"/>
      <c r="AN1331" s="52"/>
    </row>
    <row r="1332" spans="16:40" x14ac:dyDescent="0.2"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M1332" s="52"/>
      <c r="AN1332" s="52"/>
    </row>
    <row r="1333" spans="16:40" x14ac:dyDescent="0.2"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M1333" s="52"/>
      <c r="AN1333" s="52"/>
    </row>
    <row r="1334" spans="16:40" x14ac:dyDescent="0.2"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M1334" s="52"/>
      <c r="AN1334" s="52"/>
    </row>
    <row r="1335" spans="16:40" x14ac:dyDescent="0.2"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M1335" s="52"/>
      <c r="AN1335" s="52"/>
    </row>
    <row r="1336" spans="16:40" x14ac:dyDescent="0.2"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M1336" s="52"/>
      <c r="AN1336" s="52"/>
    </row>
    <row r="1337" spans="16:40" x14ac:dyDescent="0.2"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M1337" s="52"/>
      <c r="AN1337" s="52"/>
    </row>
    <row r="1338" spans="16:40" x14ac:dyDescent="0.2"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M1338" s="52"/>
      <c r="AN1338" s="52"/>
    </row>
    <row r="1339" spans="16:40" x14ac:dyDescent="0.2"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M1339" s="52"/>
      <c r="AN1339" s="52"/>
    </row>
    <row r="1340" spans="16:40" x14ac:dyDescent="0.2"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M1340" s="52"/>
      <c r="AN1340" s="52"/>
    </row>
    <row r="1341" spans="16:40" x14ac:dyDescent="0.2"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M1341" s="52"/>
      <c r="AN1341" s="52"/>
    </row>
    <row r="1342" spans="16:40" x14ac:dyDescent="0.2"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M1342" s="52"/>
      <c r="AN1342" s="52"/>
    </row>
    <row r="1343" spans="16:40" x14ac:dyDescent="0.2"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M1343" s="52"/>
      <c r="AN1343" s="52"/>
    </row>
    <row r="1344" spans="16:40" x14ac:dyDescent="0.2"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M1344" s="52"/>
      <c r="AN1344" s="52"/>
    </row>
    <row r="1345" spans="16:40" x14ac:dyDescent="0.2"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M1345" s="52"/>
      <c r="AN1345" s="52"/>
    </row>
    <row r="1346" spans="16:40" x14ac:dyDescent="0.2"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M1346" s="52"/>
      <c r="AN1346" s="52"/>
    </row>
    <row r="1347" spans="16:40" x14ac:dyDescent="0.2"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M1347" s="52"/>
      <c r="AN1347" s="52"/>
    </row>
    <row r="1348" spans="16:40" x14ac:dyDescent="0.2"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M1348" s="52"/>
      <c r="AN1348" s="52"/>
    </row>
    <row r="1349" spans="16:40" x14ac:dyDescent="0.2"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M1349" s="52"/>
      <c r="AN1349" s="52"/>
    </row>
    <row r="1350" spans="16:40" x14ac:dyDescent="0.2"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M1350" s="52"/>
      <c r="AN1350" s="52"/>
    </row>
    <row r="1351" spans="16:40" x14ac:dyDescent="0.2"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M1351" s="52"/>
      <c r="AN1351" s="52"/>
    </row>
    <row r="1352" spans="16:40" x14ac:dyDescent="0.2"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M1352" s="52"/>
      <c r="AN1352" s="52"/>
    </row>
    <row r="1353" spans="16:40" x14ac:dyDescent="0.2"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M1353" s="52"/>
      <c r="AN1353" s="52"/>
    </row>
    <row r="1354" spans="16:40" x14ac:dyDescent="0.2"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M1354" s="52"/>
      <c r="AN1354" s="52"/>
    </row>
    <row r="1355" spans="16:40" x14ac:dyDescent="0.2"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M1355" s="52"/>
      <c r="AN1355" s="52"/>
    </row>
    <row r="1356" spans="16:40" x14ac:dyDescent="0.2"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M1356" s="52"/>
      <c r="AN1356" s="52"/>
    </row>
    <row r="1357" spans="16:40" x14ac:dyDescent="0.2"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M1357" s="52"/>
      <c r="AN1357" s="52"/>
    </row>
    <row r="1358" spans="16:40" x14ac:dyDescent="0.2"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M1358" s="52"/>
      <c r="AN1358" s="52"/>
    </row>
    <row r="1359" spans="16:40" x14ac:dyDescent="0.2"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M1359" s="52"/>
      <c r="AN1359" s="52"/>
    </row>
    <row r="1360" spans="16:40" x14ac:dyDescent="0.2"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M1360" s="52"/>
      <c r="AN1360" s="52"/>
    </row>
    <row r="1361" spans="16:40" x14ac:dyDescent="0.2"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M1361" s="52"/>
      <c r="AN1361" s="52"/>
    </row>
    <row r="1362" spans="16:40" x14ac:dyDescent="0.2"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M1362" s="52"/>
      <c r="AN1362" s="52"/>
    </row>
    <row r="1363" spans="16:40" x14ac:dyDescent="0.2"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M1363" s="52"/>
      <c r="AN1363" s="52"/>
    </row>
    <row r="1364" spans="16:40" x14ac:dyDescent="0.2"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M1364" s="52"/>
      <c r="AN1364" s="52"/>
    </row>
    <row r="1365" spans="16:40" x14ac:dyDescent="0.2"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M1365" s="52"/>
      <c r="AN1365" s="52"/>
    </row>
    <row r="1366" spans="16:40" x14ac:dyDescent="0.2"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M1366" s="52"/>
      <c r="AN1366" s="52"/>
    </row>
    <row r="1367" spans="16:40" x14ac:dyDescent="0.2"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M1367" s="52"/>
      <c r="AN1367" s="52"/>
    </row>
    <row r="1368" spans="16:40" x14ac:dyDescent="0.2"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M1368" s="52"/>
      <c r="AN1368" s="52"/>
    </row>
    <row r="1369" spans="16:40" x14ac:dyDescent="0.2"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M1369" s="52"/>
      <c r="AN1369" s="52"/>
    </row>
    <row r="1370" spans="16:40" x14ac:dyDescent="0.2"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M1370" s="52"/>
      <c r="AN1370" s="52"/>
    </row>
    <row r="1371" spans="16:40" x14ac:dyDescent="0.2"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M1371" s="52"/>
      <c r="AN1371" s="52"/>
    </row>
    <row r="1372" spans="16:40" x14ac:dyDescent="0.2"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M1372" s="52"/>
      <c r="AN1372" s="52"/>
    </row>
    <row r="1373" spans="16:40" x14ac:dyDescent="0.2"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M1373" s="52"/>
      <c r="AN1373" s="52"/>
    </row>
    <row r="1374" spans="16:40" x14ac:dyDescent="0.2"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M1374" s="52"/>
      <c r="AN1374" s="52"/>
    </row>
    <row r="1375" spans="16:40" x14ac:dyDescent="0.2"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M1375" s="52"/>
      <c r="AN1375" s="52"/>
    </row>
    <row r="1376" spans="16:40" x14ac:dyDescent="0.2"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M1376" s="52"/>
      <c r="AN1376" s="52"/>
    </row>
    <row r="1377" spans="16:40" x14ac:dyDescent="0.2"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M1377" s="52"/>
      <c r="AN1377" s="52"/>
    </row>
    <row r="1378" spans="16:40" x14ac:dyDescent="0.2"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M1378" s="52"/>
      <c r="AN1378" s="52"/>
    </row>
    <row r="1379" spans="16:40" x14ac:dyDescent="0.2"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M1379" s="52"/>
      <c r="AN1379" s="52"/>
    </row>
    <row r="1380" spans="16:40" x14ac:dyDescent="0.2"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M1380" s="52"/>
      <c r="AN1380" s="52"/>
    </row>
    <row r="1381" spans="16:40" x14ac:dyDescent="0.2"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M1381" s="52"/>
      <c r="AN1381" s="52"/>
    </row>
    <row r="1382" spans="16:40" x14ac:dyDescent="0.2"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M1382" s="52"/>
      <c r="AN1382" s="52"/>
    </row>
    <row r="1383" spans="16:40" x14ac:dyDescent="0.2"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M1383" s="52"/>
      <c r="AN1383" s="52"/>
    </row>
    <row r="1384" spans="16:40" x14ac:dyDescent="0.2"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M1384" s="52"/>
      <c r="AN1384" s="52"/>
    </row>
    <row r="1385" spans="16:40" x14ac:dyDescent="0.2"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M1385" s="52"/>
      <c r="AN1385" s="52"/>
    </row>
    <row r="1386" spans="16:40" x14ac:dyDescent="0.2"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M1386" s="52"/>
      <c r="AN1386" s="52"/>
    </row>
    <row r="1387" spans="16:40" x14ac:dyDescent="0.2"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M1387" s="52"/>
      <c r="AN1387" s="52"/>
    </row>
    <row r="1388" spans="16:40" x14ac:dyDescent="0.2"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M1388" s="52"/>
      <c r="AN1388" s="52"/>
    </row>
    <row r="1389" spans="16:40" x14ac:dyDescent="0.2"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M1389" s="52"/>
      <c r="AN1389" s="52"/>
    </row>
    <row r="1390" spans="16:40" x14ac:dyDescent="0.2"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M1390" s="52"/>
      <c r="AN1390" s="52"/>
    </row>
    <row r="1391" spans="16:40" x14ac:dyDescent="0.2"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M1391" s="52"/>
      <c r="AN1391" s="52"/>
    </row>
    <row r="1392" spans="16:40" x14ac:dyDescent="0.2"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M1392" s="52"/>
      <c r="AN1392" s="52"/>
    </row>
    <row r="1393" spans="16:40" x14ac:dyDescent="0.2"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M1393" s="52"/>
      <c r="AN1393" s="52"/>
    </row>
    <row r="1394" spans="16:40" x14ac:dyDescent="0.2"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M1394" s="52"/>
      <c r="AN1394" s="52"/>
    </row>
    <row r="1395" spans="16:40" x14ac:dyDescent="0.2"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M1395" s="52"/>
      <c r="AN1395" s="52"/>
    </row>
    <row r="1396" spans="16:40" x14ac:dyDescent="0.2"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M1396" s="52"/>
      <c r="AN1396" s="52"/>
    </row>
    <row r="1397" spans="16:40" x14ac:dyDescent="0.2"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M1397" s="52"/>
      <c r="AN1397" s="52"/>
    </row>
    <row r="1398" spans="16:40" x14ac:dyDescent="0.2"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M1398" s="52"/>
      <c r="AN1398" s="52"/>
    </row>
    <row r="1399" spans="16:40" x14ac:dyDescent="0.2"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M1399" s="52"/>
      <c r="AN1399" s="52"/>
    </row>
    <row r="1400" spans="16:40" x14ac:dyDescent="0.2"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M1400" s="52"/>
      <c r="AN1400" s="52"/>
    </row>
    <row r="1401" spans="16:40" x14ac:dyDescent="0.2"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M1401" s="52"/>
      <c r="AN1401" s="52"/>
    </row>
    <row r="1402" spans="16:40" x14ac:dyDescent="0.2"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M1402" s="52"/>
      <c r="AN1402" s="52"/>
    </row>
    <row r="1403" spans="16:40" x14ac:dyDescent="0.2"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M1403" s="52"/>
      <c r="AN1403" s="52"/>
    </row>
    <row r="1404" spans="16:40" x14ac:dyDescent="0.2"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M1404" s="52"/>
      <c r="AN1404" s="52"/>
    </row>
    <row r="1405" spans="16:40" x14ac:dyDescent="0.2"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M1405" s="52"/>
      <c r="AN1405" s="52"/>
    </row>
    <row r="1406" spans="16:40" x14ac:dyDescent="0.2"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M1406" s="52"/>
      <c r="AN1406" s="52"/>
    </row>
    <row r="1407" spans="16:40" x14ac:dyDescent="0.2"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M1407" s="52"/>
      <c r="AN1407" s="52"/>
    </row>
    <row r="1408" spans="16:40" x14ac:dyDescent="0.2"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M1408" s="52"/>
      <c r="AN1408" s="52"/>
    </row>
    <row r="1409" spans="16:40" x14ac:dyDescent="0.2"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M1409" s="52"/>
      <c r="AN1409" s="52"/>
    </row>
    <row r="1410" spans="16:40" x14ac:dyDescent="0.2"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M1410" s="52"/>
      <c r="AN1410" s="52"/>
    </row>
    <row r="1411" spans="16:40" x14ac:dyDescent="0.2"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M1411" s="52"/>
      <c r="AN1411" s="52"/>
    </row>
    <row r="1412" spans="16:40" x14ac:dyDescent="0.2"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M1412" s="52"/>
      <c r="AN1412" s="52"/>
    </row>
    <row r="1413" spans="16:40" x14ac:dyDescent="0.2"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M1413" s="52"/>
      <c r="AN1413" s="52"/>
    </row>
    <row r="1414" spans="16:40" x14ac:dyDescent="0.2"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M1414" s="52"/>
      <c r="AN1414" s="52"/>
    </row>
    <row r="1415" spans="16:40" x14ac:dyDescent="0.2"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M1415" s="52"/>
      <c r="AN1415" s="52"/>
    </row>
    <row r="1416" spans="16:40" x14ac:dyDescent="0.2"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M1416" s="52"/>
      <c r="AN1416" s="52"/>
    </row>
    <row r="1417" spans="16:40" x14ac:dyDescent="0.2"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M1417" s="52"/>
      <c r="AN1417" s="52"/>
    </row>
    <row r="1418" spans="16:40" x14ac:dyDescent="0.2"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M1418" s="52"/>
      <c r="AN1418" s="52"/>
    </row>
    <row r="1419" spans="16:40" x14ac:dyDescent="0.2"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M1419" s="52"/>
      <c r="AN1419" s="52"/>
    </row>
    <row r="1420" spans="16:40" x14ac:dyDescent="0.2"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M1420" s="52"/>
      <c r="AN1420" s="52"/>
    </row>
    <row r="1421" spans="16:40" x14ac:dyDescent="0.2"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M1421" s="52"/>
      <c r="AN1421" s="52"/>
    </row>
    <row r="1422" spans="16:40" x14ac:dyDescent="0.2"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M1422" s="52"/>
      <c r="AN1422" s="52"/>
    </row>
    <row r="1423" spans="16:40" x14ac:dyDescent="0.2"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M1423" s="52"/>
      <c r="AN1423" s="52"/>
    </row>
    <row r="1424" spans="16:40" x14ac:dyDescent="0.2"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M1424" s="52"/>
      <c r="AN1424" s="52"/>
    </row>
    <row r="1425" spans="16:40" x14ac:dyDescent="0.2"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M1425" s="52"/>
      <c r="AN1425" s="52"/>
    </row>
    <row r="1426" spans="16:40" x14ac:dyDescent="0.2"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M1426" s="52"/>
      <c r="AN1426" s="52"/>
    </row>
    <row r="1427" spans="16:40" x14ac:dyDescent="0.2"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M1427" s="52"/>
      <c r="AN1427" s="52"/>
    </row>
    <row r="1428" spans="16:40" x14ac:dyDescent="0.2"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M1428" s="52"/>
      <c r="AN1428" s="52"/>
    </row>
    <row r="1429" spans="16:40" x14ac:dyDescent="0.2"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M1429" s="52"/>
      <c r="AN1429" s="52"/>
    </row>
    <row r="1430" spans="16:40" x14ac:dyDescent="0.2"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M1430" s="52"/>
      <c r="AN1430" s="52"/>
    </row>
    <row r="1431" spans="16:40" x14ac:dyDescent="0.2"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M1431" s="52"/>
      <c r="AN1431" s="52"/>
    </row>
    <row r="1432" spans="16:40" x14ac:dyDescent="0.2"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M1432" s="52"/>
      <c r="AN1432" s="52"/>
    </row>
    <row r="1433" spans="16:40" x14ac:dyDescent="0.2"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M1433" s="52"/>
      <c r="AN1433" s="52"/>
    </row>
    <row r="1434" spans="16:40" x14ac:dyDescent="0.2"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M1434" s="52"/>
      <c r="AN1434" s="52"/>
    </row>
    <row r="1435" spans="16:40" x14ac:dyDescent="0.2"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M1435" s="52"/>
      <c r="AN1435" s="52"/>
    </row>
    <row r="1436" spans="16:40" x14ac:dyDescent="0.2"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M1436" s="52"/>
      <c r="AN1436" s="52"/>
    </row>
    <row r="1437" spans="16:40" x14ac:dyDescent="0.2"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M1437" s="52"/>
      <c r="AN1437" s="52"/>
    </row>
    <row r="1438" spans="16:40" x14ac:dyDescent="0.2"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M1438" s="52"/>
      <c r="AN1438" s="52"/>
    </row>
    <row r="1439" spans="16:40" x14ac:dyDescent="0.2"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M1439" s="52"/>
      <c r="AN1439" s="52"/>
    </row>
    <row r="1440" spans="16:40" x14ac:dyDescent="0.2"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M1440" s="52"/>
      <c r="AN1440" s="52"/>
    </row>
    <row r="1441" spans="16:40" x14ac:dyDescent="0.2"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M1441" s="52"/>
      <c r="AN1441" s="52"/>
    </row>
    <row r="1442" spans="16:40" x14ac:dyDescent="0.2"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M1442" s="52"/>
      <c r="AN1442" s="52"/>
    </row>
    <row r="1443" spans="16:40" x14ac:dyDescent="0.2"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M1443" s="52"/>
      <c r="AN1443" s="52"/>
    </row>
    <row r="1444" spans="16:40" x14ac:dyDescent="0.2"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M1444" s="52"/>
      <c r="AN1444" s="52"/>
    </row>
    <row r="1445" spans="16:40" x14ac:dyDescent="0.2"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M1445" s="52"/>
      <c r="AN1445" s="52"/>
    </row>
    <row r="1446" spans="16:40" x14ac:dyDescent="0.2"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M1446" s="52"/>
      <c r="AN1446" s="52"/>
    </row>
    <row r="1447" spans="16:40" x14ac:dyDescent="0.2"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M1447" s="52"/>
      <c r="AN1447" s="52"/>
    </row>
    <row r="1448" spans="16:40" x14ac:dyDescent="0.2"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M1448" s="52"/>
      <c r="AN1448" s="52"/>
    </row>
    <row r="1449" spans="16:40" x14ac:dyDescent="0.2"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M1449" s="52"/>
      <c r="AN1449" s="52"/>
    </row>
    <row r="1450" spans="16:40" x14ac:dyDescent="0.2"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M1450" s="52"/>
      <c r="AN1450" s="52"/>
    </row>
    <row r="1451" spans="16:40" x14ac:dyDescent="0.2"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M1451" s="52"/>
      <c r="AN1451" s="52"/>
    </row>
    <row r="1452" spans="16:40" x14ac:dyDescent="0.2"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M1452" s="52"/>
      <c r="AN1452" s="52"/>
    </row>
    <row r="1453" spans="16:40" x14ac:dyDescent="0.2"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M1453" s="52"/>
      <c r="AN1453" s="52"/>
    </row>
    <row r="1454" spans="16:40" x14ac:dyDescent="0.2"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M1454" s="52"/>
      <c r="AN1454" s="52"/>
    </row>
    <row r="1455" spans="16:40" x14ac:dyDescent="0.2"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M1455" s="52"/>
      <c r="AN1455" s="52"/>
    </row>
    <row r="1456" spans="16:40" x14ac:dyDescent="0.2"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M1456" s="52"/>
      <c r="AN1456" s="52"/>
    </row>
    <row r="1457" spans="16:40" x14ac:dyDescent="0.2"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M1457" s="52"/>
      <c r="AN1457" s="52"/>
    </row>
    <row r="1458" spans="16:40" x14ac:dyDescent="0.2"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M1458" s="52"/>
      <c r="AN1458" s="52"/>
    </row>
    <row r="1459" spans="16:40" x14ac:dyDescent="0.2"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M1459" s="52"/>
      <c r="AN1459" s="52"/>
    </row>
    <row r="1460" spans="16:40" x14ac:dyDescent="0.2"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M1460" s="52"/>
      <c r="AN1460" s="52"/>
    </row>
    <row r="1461" spans="16:40" x14ac:dyDescent="0.2"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M1461" s="52"/>
      <c r="AN1461" s="52"/>
    </row>
    <row r="1462" spans="16:40" x14ac:dyDescent="0.2"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M1462" s="52"/>
      <c r="AN1462" s="52"/>
    </row>
    <row r="1463" spans="16:40" x14ac:dyDescent="0.2"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M1463" s="52"/>
      <c r="AN1463" s="52"/>
    </row>
    <row r="1464" spans="16:40" x14ac:dyDescent="0.2"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M1464" s="52"/>
      <c r="AN1464" s="52"/>
    </row>
    <row r="1465" spans="16:40" x14ac:dyDescent="0.2"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M1465" s="52"/>
      <c r="AN1465" s="52"/>
    </row>
    <row r="1466" spans="16:40" x14ac:dyDescent="0.2"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M1466" s="52"/>
      <c r="AN1466" s="52"/>
    </row>
    <row r="1467" spans="16:40" x14ac:dyDescent="0.2"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M1467" s="52"/>
      <c r="AN1467" s="52"/>
    </row>
    <row r="1468" spans="16:40" x14ac:dyDescent="0.2"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M1468" s="52"/>
      <c r="AN1468" s="52"/>
    </row>
    <row r="1469" spans="16:40" x14ac:dyDescent="0.2"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M1469" s="52"/>
      <c r="AN1469" s="52"/>
    </row>
    <row r="1470" spans="16:40" x14ac:dyDescent="0.2"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M1470" s="52"/>
      <c r="AN1470" s="52"/>
    </row>
    <row r="1471" spans="16:40" x14ac:dyDescent="0.2"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M1471" s="52"/>
      <c r="AN1471" s="52"/>
    </row>
    <row r="1472" spans="16:40" x14ac:dyDescent="0.2"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M1472" s="52"/>
      <c r="AN1472" s="52"/>
    </row>
    <row r="1473" spans="16:40" x14ac:dyDescent="0.2"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M1473" s="52"/>
      <c r="AN1473" s="52"/>
    </row>
    <row r="1474" spans="16:40" x14ac:dyDescent="0.2"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M1474" s="52"/>
      <c r="AN1474" s="52"/>
    </row>
    <row r="1475" spans="16:40" x14ac:dyDescent="0.2"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M1475" s="52"/>
      <c r="AN1475" s="52"/>
    </row>
    <row r="1476" spans="16:40" x14ac:dyDescent="0.2"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M1476" s="52"/>
      <c r="AN1476" s="52"/>
    </row>
    <row r="1477" spans="16:40" x14ac:dyDescent="0.2"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M1477" s="52"/>
      <c r="AN1477" s="52"/>
    </row>
    <row r="1478" spans="16:40" x14ac:dyDescent="0.2"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M1478" s="52"/>
      <c r="AN1478" s="52"/>
    </row>
    <row r="1479" spans="16:40" x14ac:dyDescent="0.2"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M1479" s="52"/>
      <c r="AN1479" s="52"/>
    </row>
    <row r="1480" spans="16:40" x14ac:dyDescent="0.2"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M1480" s="52"/>
      <c r="AN1480" s="52"/>
    </row>
    <row r="1481" spans="16:40" x14ac:dyDescent="0.2"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M1481" s="52"/>
      <c r="AN1481" s="52"/>
    </row>
    <row r="1482" spans="16:40" x14ac:dyDescent="0.2"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M1482" s="52"/>
      <c r="AN1482" s="52"/>
    </row>
    <row r="1483" spans="16:40" x14ac:dyDescent="0.2"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M1483" s="52"/>
      <c r="AN1483" s="52"/>
    </row>
    <row r="1484" spans="16:40" x14ac:dyDescent="0.2"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M1484" s="52"/>
      <c r="AN1484" s="52"/>
    </row>
    <row r="1485" spans="16:40" x14ac:dyDescent="0.2"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M1485" s="52"/>
      <c r="AN1485" s="52"/>
    </row>
    <row r="1486" spans="16:40" x14ac:dyDescent="0.2"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M1486" s="52"/>
      <c r="AN1486" s="52"/>
    </row>
    <row r="1487" spans="16:40" x14ac:dyDescent="0.2"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M1487" s="52"/>
      <c r="AN1487" s="52"/>
    </row>
    <row r="1488" spans="16:40" x14ac:dyDescent="0.2"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M1488" s="52"/>
      <c r="AN1488" s="52"/>
    </row>
    <row r="1489" spans="16:40" x14ac:dyDescent="0.2"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M1489" s="52"/>
      <c r="AN1489" s="52"/>
    </row>
    <row r="1490" spans="16:40" x14ac:dyDescent="0.2"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M1490" s="52"/>
      <c r="AN1490" s="52"/>
    </row>
    <row r="1491" spans="16:40" x14ac:dyDescent="0.2"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M1491" s="52"/>
      <c r="AN1491" s="52"/>
    </row>
    <row r="1492" spans="16:40" x14ac:dyDescent="0.2"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M1492" s="52"/>
      <c r="AN1492" s="52"/>
    </row>
    <row r="1493" spans="16:40" x14ac:dyDescent="0.2"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M1493" s="52"/>
      <c r="AN1493" s="52"/>
    </row>
    <row r="1494" spans="16:40" x14ac:dyDescent="0.2"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M1494" s="52"/>
      <c r="AN1494" s="52"/>
    </row>
    <row r="1495" spans="16:40" x14ac:dyDescent="0.2"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M1495" s="52"/>
      <c r="AN1495" s="52"/>
    </row>
    <row r="1496" spans="16:40" x14ac:dyDescent="0.2"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M1496" s="52"/>
      <c r="AN1496" s="52"/>
    </row>
    <row r="1497" spans="16:40" x14ac:dyDescent="0.2"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M1497" s="52"/>
      <c r="AN1497" s="52"/>
    </row>
    <row r="1498" spans="16:40" x14ac:dyDescent="0.2"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M1498" s="52"/>
      <c r="AN1498" s="52"/>
    </row>
    <row r="1499" spans="16:40" x14ac:dyDescent="0.2"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M1499" s="52"/>
      <c r="AN1499" s="52"/>
    </row>
    <row r="1500" spans="16:40" x14ac:dyDescent="0.2"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M1500" s="52"/>
      <c r="AN1500" s="52"/>
    </row>
    <row r="1501" spans="16:40" x14ac:dyDescent="0.2"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M1501" s="52"/>
      <c r="AN1501" s="52"/>
    </row>
    <row r="1502" spans="16:40" x14ac:dyDescent="0.2"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M1502" s="52"/>
      <c r="AN1502" s="52"/>
    </row>
    <row r="1503" spans="16:40" x14ac:dyDescent="0.2"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M1503" s="52"/>
      <c r="AN1503" s="52"/>
    </row>
    <row r="1504" spans="16:40" x14ac:dyDescent="0.2"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M1504" s="52"/>
      <c r="AN1504" s="52"/>
    </row>
    <row r="1505" spans="16:40" x14ac:dyDescent="0.2"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M1505" s="52"/>
      <c r="AN1505" s="52"/>
    </row>
    <row r="1506" spans="16:40" x14ac:dyDescent="0.2"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M1506" s="52"/>
      <c r="AN1506" s="52"/>
    </row>
    <row r="1507" spans="16:40" x14ac:dyDescent="0.2"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  <c r="AD1507" s="52"/>
      <c r="AE1507" s="52"/>
      <c r="AF1507" s="52"/>
      <c r="AG1507" s="52"/>
      <c r="AH1507" s="52"/>
      <c r="AM1507" s="52"/>
      <c r="AN1507" s="52"/>
    </row>
    <row r="1508" spans="16:40" x14ac:dyDescent="0.2"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  <c r="AD1508" s="52"/>
      <c r="AE1508" s="52"/>
      <c r="AF1508" s="52"/>
      <c r="AG1508" s="52"/>
      <c r="AH1508" s="52"/>
      <c r="AM1508" s="52"/>
      <c r="AN1508" s="52"/>
    </row>
    <row r="1509" spans="16:40" x14ac:dyDescent="0.2"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  <c r="AD1509" s="52"/>
      <c r="AE1509" s="52"/>
      <c r="AF1509" s="52"/>
      <c r="AG1509" s="52"/>
      <c r="AH1509" s="52"/>
      <c r="AM1509" s="52"/>
      <c r="AN1509" s="52"/>
    </row>
    <row r="1510" spans="16:40" x14ac:dyDescent="0.2"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  <c r="AD1510" s="52"/>
      <c r="AE1510" s="52"/>
      <c r="AF1510" s="52"/>
      <c r="AG1510" s="52"/>
      <c r="AH1510" s="52"/>
      <c r="AM1510" s="52"/>
      <c r="AN1510" s="52"/>
    </row>
    <row r="1511" spans="16:40" x14ac:dyDescent="0.2"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  <c r="AD1511" s="52"/>
      <c r="AE1511" s="52"/>
      <c r="AF1511" s="52"/>
      <c r="AG1511" s="52"/>
      <c r="AH1511" s="52"/>
      <c r="AM1511" s="52"/>
      <c r="AN1511" s="52"/>
    </row>
    <row r="1512" spans="16:40" x14ac:dyDescent="0.2"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  <c r="AD1512" s="52"/>
      <c r="AE1512" s="52"/>
      <c r="AF1512" s="52"/>
      <c r="AG1512" s="52"/>
      <c r="AH1512" s="52"/>
      <c r="AM1512" s="52"/>
      <c r="AN1512" s="52"/>
    </row>
    <row r="1513" spans="16:40" x14ac:dyDescent="0.2"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  <c r="AD1513" s="52"/>
      <c r="AE1513" s="52"/>
      <c r="AF1513" s="52"/>
      <c r="AG1513" s="52"/>
      <c r="AH1513" s="52"/>
      <c r="AM1513" s="52"/>
      <c r="AN1513" s="52"/>
    </row>
    <row r="1514" spans="16:40" x14ac:dyDescent="0.2"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  <c r="AD1514" s="52"/>
      <c r="AE1514" s="52"/>
      <c r="AF1514" s="52"/>
      <c r="AG1514" s="52"/>
      <c r="AH1514" s="52"/>
      <c r="AM1514" s="52"/>
      <c r="AN1514" s="52"/>
    </row>
    <row r="1515" spans="16:40" x14ac:dyDescent="0.2"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  <c r="AD1515" s="52"/>
      <c r="AE1515" s="52"/>
      <c r="AF1515" s="52"/>
      <c r="AG1515" s="52"/>
      <c r="AH1515" s="52"/>
      <c r="AM1515" s="52"/>
      <c r="AN1515" s="52"/>
    </row>
    <row r="1516" spans="16:40" x14ac:dyDescent="0.2"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  <c r="AD1516" s="52"/>
      <c r="AE1516" s="52"/>
      <c r="AF1516" s="52"/>
      <c r="AG1516" s="52"/>
      <c r="AH1516" s="52"/>
      <c r="AM1516" s="52"/>
      <c r="AN1516" s="52"/>
    </row>
    <row r="1517" spans="16:40" x14ac:dyDescent="0.2"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  <c r="AD1517" s="52"/>
      <c r="AE1517" s="52"/>
      <c r="AF1517" s="52"/>
      <c r="AG1517" s="52"/>
      <c r="AH1517" s="52"/>
      <c r="AM1517" s="52"/>
      <c r="AN1517" s="52"/>
    </row>
    <row r="1518" spans="16:40" x14ac:dyDescent="0.2"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  <c r="AD1518" s="52"/>
      <c r="AE1518" s="52"/>
      <c r="AF1518" s="52"/>
      <c r="AG1518" s="52"/>
      <c r="AH1518" s="52"/>
      <c r="AM1518" s="52"/>
      <c r="AN1518" s="52"/>
    </row>
    <row r="1519" spans="16:40" x14ac:dyDescent="0.2"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  <c r="AD1519" s="52"/>
      <c r="AE1519" s="52"/>
      <c r="AF1519" s="52"/>
      <c r="AG1519" s="52"/>
      <c r="AH1519" s="52"/>
      <c r="AM1519" s="52"/>
      <c r="AN1519" s="52"/>
    </row>
    <row r="1520" spans="16:40" x14ac:dyDescent="0.2"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  <c r="AD1520" s="52"/>
      <c r="AE1520" s="52"/>
      <c r="AF1520" s="52"/>
      <c r="AG1520" s="52"/>
      <c r="AH1520" s="52"/>
      <c r="AM1520" s="52"/>
      <c r="AN1520" s="52"/>
    </row>
    <row r="1521" spans="16:40" x14ac:dyDescent="0.2"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  <c r="AD1521" s="52"/>
      <c r="AE1521" s="52"/>
      <c r="AF1521" s="52"/>
      <c r="AG1521" s="52"/>
      <c r="AH1521" s="52"/>
      <c r="AM1521" s="52"/>
      <c r="AN1521" s="52"/>
    </row>
    <row r="1522" spans="16:40" x14ac:dyDescent="0.2"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  <c r="AD1522" s="52"/>
      <c r="AE1522" s="52"/>
      <c r="AF1522" s="52"/>
      <c r="AG1522" s="52"/>
      <c r="AH1522" s="52"/>
      <c r="AM1522" s="52"/>
      <c r="AN1522" s="52"/>
    </row>
    <row r="1523" spans="16:40" x14ac:dyDescent="0.2"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  <c r="AD1523" s="52"/>
      <c r="AE1523" s="52"/>
      <c r="AF1523" s="52"/>
      <c r="AG1523" s="52"/>
      <c r="AH1523" s="52"/>
      <c r="AM1523" s="52"/>
      <c r="AN1523" s="52"/>
    </row>
    <row r="1524" spans="16:40" x14ac:dyDescent="0.2"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  <c r="AD1524" s="52"/>
      <c r="AE1524" s="52"/>
      <c r="AF1524" s="52"/>
      <c r="AG1524" s="52"/>
      <c r="AH1524" s="52"/>
      <c r="AM1524" s="52"/>
      <c r="AN1524" s="52"/>
    </row>
    <row r="1525" spans="16:40" x14ac:dyDescent="0.2"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  <c r="AD1525" s="52"/>
      <c r="AE1525" s="52"/>
      <c r="AF1525" s="52"/>
      <c r="AG1525" s="52"/>
      <c r="AH1525" s="52"/>
      <c r="AM1525" s="52"/>
      <c r="AN1525" s="52"/>
    </row>
    <row r="1526" spans="16:40" x14ac:dyDescent="0.2"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  <c r="AD1526" s="52"/>
      <c r="AE1526" s="52"/>
      <c r="AF1526" s="52"/>
      <c r="AG1526" s="52"/>
      <c r="AH1526" s="52"/>
      <c r="AM1526" s="52"/>
      <c r="AN1526" s="52"/>
    </row>
    <row r="1527" spans="16:40" x14ac:dyDescent="0.2"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  <c r="AD1527" s="52"/>
      <c r="AE1527" s="52"/>
      <c r="AF1527" s="52"/>
      <c r="AG1527" s="52"/>
      <c r="AH1527" s="52"/>
      <c r="AM1527" s="52"/>
      <c r="AN1527" s="52"/>
    </row>
    <row r="1528" spans="16:40" x14ac:dyDescent="0.2"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2"/>
      <c r="AE1528" s="52"/>
      <c r="AF1528" s="52"/>
      <c r="AG1528" s="52"/>
      <c r="AH1528" s="52"/>
      <c r="AM1528" s="52"/>
      <c r="AN1528" s="52"/>
    </row>
    <row r="1529" spans="16:40" x14ac:dyDescent="0.2"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  <c r="AD1529" s="52"/>
      <c r="AE1529" s="52"/>
      <c r="AF1529" s="52"/>
      <c r="AG1529" s="52"/>
      <c r="AH1529" s="52"/>
      <c r="AM1529" s="52"/>
      <c r="AN1529" s="52"/>
    </row>
    <row r="1530" spans="16:40" x14ac:dyDescent="0.2"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2"/>
      <c r="AE1530" s="52"/>
      <c r="AF1530" s="52"/>
      <c r="AG1530" s="52"/>
      <c r="AH1530" s="52"/>
      <c r="AM1530" s="52"/>
      <c r="AN1530" s="52"/>
    </row>
    <row r="1531" spans="16:40" x14ac:dyDescent="0.2"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  <c r="AD1531" s="52"/>
      <c r="AE1531" s="52"/>
      <c r="AF1531" s="52"/>
      <c r="AG1531" s="52"/>
      <c r="AH1531" s="52"/>
      <c r="AM1531" s="52"/>
      <c r="AN1531" s="52"/>
    </row>
    <row r="1532" spans="16:40" x14ac:dyDescent="0.2"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  <c r="AD1532" s="52"/>
      <c r="AE1532" s="52"/>
      <c r="AF1532" s="52"/>
      <c r="AG1532" s="52"/>
      <c r="AH1532" s="52"/>
      <c r="AM1532" s="52"/>
      <c r="AN1532" s="52"/>
    </row>
    <row r="1533" spans="16:40" x14ac:dyDescent="0.2"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  <c r="AD1533" s="52"/>
      <c r="AE1533" s="52"/>
      <c r="AF1533" s="52"/>
      <c r="AG1533" s="52"/>
      <c r="AH1533" s="52"/>
      <c r="AM1533" s="52"/>
      <c r="AN1533" s="52"/>
    </row>
    <row r="1534" spans="16:40" x14ac:dyDescent="0.2"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  <c r="AD1534" s="52"/>
      <c r="AE1534" s="52"/>
      <c r="AF1534" s="52"/>
      <c r="AG1534" s="52"/>
      <c r="AH1534" s="52"/>
      <c r="AM1534" s="52"/>
      <c r="AN1534" s="52"/>
    </row>
    <row r="1535" spans="16:40" x14ac:dyDescent="0.2"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  <c r="AD1535" s="52"/>
      <c r="AE1535" s="52"/>
      <c r="AF1535" s="52"/>
      <c r="AG1535" s="52"/>
      <c r="AH1535" s="52"/>
      <c r="AM1535" s="52"/>
      <c r="AN1535" s="52"/>
    </row>
    <row r="1536" spans="16:40" x14ac:dyDescent="0.2"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  <c r="AD1536" s="52"/>
      <c r="AE1536" s="52"/>
      <c r="AF1536" s="52"/>
      <c r="AG1536" s="52"/>
      <c r="AH1536" s="52"/>
      <c r="AM1536" s="52"/>
      <c r="AN1536" s="52"/>
    </row>
    <row r="1537" spans="16:40" x14ac:dyDescent="0.2"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  <c r="AD1537" s="52"/>
      <c r="AE1537" s="52"/>
      <c r="AF1537" s="52"/>
      <c r="AG1537" s="52"/>
      <c r="AH1537" s="52"/>
      <c r="AM1537" s="52"/>
      <c r="AN1537" s="52"/>
    </row>
    <row r="1538" spans="16:40" x14ac:dyDescent="0.2"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  <c r="AD1538" s="52"/>
      <c r="AE1538" s="52"/>
      <c r="AF1538" s="52"/>
      <c r="AG1538" s="52"/>
      <c r="AH1538" s="52"/>
      <c r="AM1538" s="52"/>
      <c r="AN1538" s="52"/>
    </row>
    <row r="1539" spans="16:40" x14ac:dyDescent="0.2"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  <c r="AD1539" s="52"/>
      <c r="AE1539" s="52"/>
      <c r="AF1539" s="52"/>
      <c r="AG1539" s="52"/>
      <c r="AH1539" s="52"/>
      <c r="AM1539" s="52"/>
      <c r="AN1539" s="52"/>
    </row>
    <row r="1540" spans="16:40" x14ac:dyDescent="0.2"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  <c r="AD1540" s="52"/>
      <c r="AE1540" s="52"/>
      <c r="AF1540" s="52"/>
      <c r="AG1540" s="52"/>
      <c r="AH1540" s="52"/>
      <c r="AM1540" s="52"/>
      <c r="AN1540" s="52"/>
    </row>
    <row r="1541" spans="16:40" x14ac:dyDescent="0.2"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  <c r="AD1541" s="52"/>
      <c r="AE1541" s="52"/>
      <c r="AF1541" s="52"/>
      <c r="AG1541" s="52"/>
      <c r="AH1541" s="52"/>
      <c r="AM1541" s="52"/>
      <c r="AN1541" s="52"/>
    </row>
    <row r="1542" spans="16:40" x14ac:dyDescent="0.2"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  <c r="AD1542" s="52"/>
      <c r="AE1542" s="52"/>
      <c r="AF1542" s="52"/>
      <c r="AG1542" s="52"/>
      <c r="AH1542" s="52"/>
      <c r="AM1542" s="52"/>
      <c r="AN1542" s="52"/>
    </row>
    <row r="1543" spans="16:40" x14ac:dyDescent="0.2"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  <c r="AD1543" s="52"/>
      <c r="AE1543" s="52"/>
      <c r="AF1543" s="52"/>
      <c r="AG1543" s="52"/>
      <c r="AH1543" s="52"/>
      <c r="AM1543" s="52"/>
      <c r="AN1543" s="52"/>
    </row>
    <row r="1544" spans="16:40" x14ac:dyDescent="0.2"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  <c r="AD1544" s="52"/>
      <c r="AE1544" s="52"/>
      <c r="AF1544" s="52"/>
      <c r="AG1544" s="52"/>
      <c r="AH1544" s="52"/>
      <c r="AM1544" s="52"/>
      <c r="AN1544" s="52"/>
    </row>
    <row r="1545" spans="16:40" x14ac:dyDescent="0.2"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  <c r="AD1545" s="52"/>
      <c r="AE1545" s="52"/>
      <c r="AF1545" s="52"/>
      <c r="AG1545" s="52"/>
      <c r="AH1545" s="52"/>
      <c r="AM1545" s="52"/>
      <c r="AN1545" s="52"/>
    </row>
    <row r="1546" spans="16:40" x14ac:dyDescent="0.2"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  <c r="AD1546" s="52"/>
      <c r="AE1546" s="52"/>
      <c r="AF1546" s="52"/>
      <c r="AG1546" s="52"/>
      <c r="AH1546" s="52"/>
      <c r="AM1546" s="52"/>
      <c r="AN1546" s="52"/>
    </row>
    <row r="1547" spans="16:40" x14ac:dyDescent="0.2"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  <c r="AD1547" s="52"/>
      <c r="AE1547" s="52"/>
      <c r="AF1547" s="52"/>
      <c r="AG1547" s="52"/>
      <c r="AH1547" s="52"/>
      <c r="AM1547" s="52"/>
      <c r="AN1547" s="52"/>
    </row>
    <row r="1548" spans="16:40" x14ac:dyDescent="0.2"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  <c r="AD1548" s="52"/>
      <c r="AE1548" s="52"/>
      <c r="AF1548" s="52"/>
      <c r="AG1548" s="52"/>
      <c r="AH1548" s="52"/>
      <c r="AM1548" s="52"/>
      <c r="AN1548" s="52"/>
    </row>
    <row r="1549" spans="16:40" x14ac:dyDescent="0.2"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  <c r="AD1549" s="52"/>
      <c r="AE1549" s="52"/>
      <c r="AF1549" s="52"/>
      <c r="AG1549" s="52"/>
      <c r="AH1549" s="52"/>
      <c r="AM1549" s="52"/>
      <c r="AN1549" s="52"/>
    </row>
    <row r="1550" spans="16:40" x14ac:dyDescent="0.2"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  <c r="AD1550" s="52"/>
      <c r="AE1550" s="52"/>
      <c r="AF1550" s="52"/>
      <c r="AG1550" s="52"/>
      <c r="AH1550" s="52"/>
      <c r="AM1550" s="52"/>
      <c r="AN1550" s="52"/>
    </row>
    <row r="1551" spans="16:40" x14ac:dyDescent="0.2"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  <c r="AD1551" s="52"/>
      <c r="AE1551" s="52"/>
      <c r="AF1551" s="52"/>
      <c r="AG1551" s="52"/>
      <c r="AH1551" s="52"/>
      <c r="AM1551" s="52"/>
      <c r="AN1551" s="52"/>
    </row>
    <row r="1552" spans="16:40" x14ac:dyDescent="0.2"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2"/>
      <c r="AE1552" s="52"/>
      <c r="AF1552" s="52"/>
      <c r="AG1552" s="52"/>
      <c r="AH1552" s="52"/>
      <c r="AM1552" s="52"/>
      <c r="AN1552" s="52"/>
    </row>
    <row r="1553" spans="16:40" x14ac:dyDescent="0.2"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  <c r="AD1553" s="52"/>
      <c r="AE1553" s="52"/>
      <c r="AF1553" s="52"/>
      <c r="AG1553" s="52"/>
      <c r="AH1553" s="52"/>
      <c r="AM1553" s="52"/>
      <c r="AN1553" s="52"/>
    </row>
    <row r="1554" spans="16:40" x14ac:dyDescent="0.2"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  <c r="AD1554" s="52"/>
      <c r="AE1554" s="52"/>
      <c r="AF1554" s="52"/>
      <c r="AG1554" s="52"/>
      <c r="AH1554" s="52"/>
      <c r="AM1554" s="52"/>
      <c r="AN1554" s="52"/>
    </row>
    <row r="1555" spans="16:40" x14ac:dyDescent="0.2"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  <c r="AD1555" s="52"/>
      <c r="AE1555" s="52"/>
      <c r="AF1555" s="52"/>
      <c r="AG1555" s="52"/>
      <c r="AH1555" s="52"/>
      <c r="AM1555" s="52"/>
      <c r="AN1555" s="52"/>
    </row>
    <row r="1556" spans="16:40" x14ac:dyDescent="0.2"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  <c r="AD1556" s="52"/>
      <c r="AE1556" s="52"/>
      <c r="AF1556" s="52"/>
      <c r="AG1556" s="52"/>
      <c r="AH1556" s="52"/>
      <c r="AM1556" s="52"/>
      <c r="AN1556" s="52"/>
    </row>
    <row r="1557" spans="16:40" x14ac:dyDescent="0.2"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  <c r="AD1557" s="52"/>
      <c r="AE1557" s="52"/>
      <c r="AF1557" s="52"/>
      <c r="AG1557" s="52"/>
      <c r="AH1557" s="52"/>
      <c r="AM1557" s="52"/>
      <c r="AN1557" s="52"/>
    </row>
    <row r="1558" spans="16:40" x14ac:dyDescent="0.2"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  <c r="AD1558" s="52"/>
      <c r="AE1558" s="52"/>
      <c r="AF1558" s="52"/>
      <c r="AG1558" s="52"/>
      <c r="AH1558" s="52"/>
      <c r="AM1558" s="52"/>
      <c r="AN1558" s="52"/>
    </row>
    <row r="1559" spans="16:40" x14ac:dyDescent="0.2"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  <c r="AD1559" s="52"/>
      <c r="AE1559" s="52"/>
      <c r="AF1559" s="52"/>
      <c r="AG1559" s="52"/>
      <c r="AH1559" s="52"/>
      <c r="AM1559" s="52"/>
      <c r="AN1559" s="52"/>
    </row>
    <row r="1560" spans="16:40" x14ac:dyDescent="0.2"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  <c r="AD1560" s="52"/>
      <c r="AE1560" s="52"/>
      <c r="AF1560" s="52"/>
      <c r="AG1560" s="52"/>
      <c r="AH1560" s="52"/>
      <c r="AM1560" s="52"/>
      <c r="AN1560" s="52"/>
    </row>
    <row r="1561" spans="16:40" x14ac:dyDescent="0.2"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  <c r="AD1561" s="52"/>
      <c r="AE1561" s="52"/>
      <c r="AF1561" s="52"/>
      <c r="AG1561" s="52"/>
      <c r="AH1561" s="52"/>
      <c r="AM1561" s="52"/>
      <c r="AN1561" s="52"/>
    </row>
    <row r="1562" spans="16:40" x14ac:dyDescent="0.2"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  <c r="AD1562" s="52"/>
      <c r="AE1562" s="52"/>
      <c r="AF1562" s="52"/>
      <c r="AG1562" s="52"/>
      <c r="AH1562" s="52"/>
      <c r="AM1562" s="52"/>
      <c r="AN1562" s="52"/>
    </row>
    <row r="1563" spans="16:40" x14ac:dyDescent="0.2"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  <c r="AD1563" s="52"/>
      <c r="AE1563" s="52"/>
      <c r="AF1563" s="52"/>
      <c r="AG1563" s="52"/>
      <c r="AH1563" s="52"/>
      <c r="AM1563" s="52"/>
      <c r="AN1563" s="52"/>
    </row>
    <row r="1564" spans="16:40" x14ac:dyDescent="0.2"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2"/>
      <c r="AE1564" s="52"/>
      <c r="AF1564" s="52"/>
      <c r="AG1564" s="52"/>
      <c r="AH1564" s="52"/>
      <c r="AM1564" s="52"/>
      <c r="AN1564" s="52"/>
    </row>
    <row r="1565" spans="16:40" x14ac:dyDescent="0.2"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  <c r="AD1565" s="52"/>
      <c r="AE1565" s="52"/>
      <c r="AF1565" s="52"/>
      <c r="AG1565" s="52"/>
      <c r="AH1565" s="52"/>
      <c r="AM1565" s="52"/>
      <c r="AN1565" s="52"/>
    </row>
    <row r="1566" spans="16:40" x14ac:dyDescent="0.2"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  <c r="AD1566" s="52"/>
      <c r="AE1566" s="52"/>
      <c r="AF1566" s="52"/>
      <c r="AG1566" s="52"/>
      <c r="AH1566" s="52"/>
      <c r="AM1566" s="52"/>
      <c r="AN1566" s="52"/>
    </row>
    <row r="1567" spans="16:40" x14ac:dyDescent="0.2"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  <c r="AD1567" s="52"/>
      <c r="AE1567" s="52"/>
      <c r="AF1567" s="52"/>
      <c r="AG1567" s="52"/>
      <c r="AH1567" s="52"/>
      <c r="AM1567" s="52"/>
      <c r="AN1567" s="52"/>
    </row>
    <row r="1568" spans="16:40" x14ac:dyDescent="0.2"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  <c r="AD1568" s="52"/>
      <c r="AE1568" s="52"/>
      <c r="AF1568" s="52"/>
      <c r="AG1568" s="52"/>
      <c r="AH1568" s="52"/>
      <c r="AM1568" s="52"/>
      <c r="AN1568" s="52"/>
    </row>
    <row r="1569" spans="16:40" x14ac:dyDescent="0.2"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  <c r="AD1569" s="52"/>
      <c r="AE1569" s="52"/>
      <c r="AF1569" s="52"/>
      <c r="AG1569" s="52"/>
      <c r="AH1569" s="52"/>
      <c r="AM1569" s="52"/>
      <c r="AN1569" s="52"/>
    </row>
    <row r="1570" spans="16:40" x14ac:dyDescent="0.2"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  <c r="AD1570" s="52"/>
      <c r="AE1570" s="52"/>
      <c r="AF1570" s="52"/>
      <c r="AG1570" s="52"/>
      <c r="AH1570" s="52"/>
      <c r="AM1570" s="52"/>
      <c r="AN1570" s="52"/>
    </row>
    <row r="1571" spans="16:40" x14ac:dyDescent="0.2"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  <c r="AD1571" s="52"/>
      <c r="AE1571" s="52"/>
      <c r="AF1571" s="52"/>
      <c r="AG1571" s="52"/>
      <c r="AH1571" s="52"/>
      <c r="AM1571" s="52"/>
      <c r="AN1571" s="52"/>
    </row>
    <row r="1572" spans="16:40" x14ac:dyDescent="0.2"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  <c r="AD1572" s="52"/>
      <c r="AE1572" s="52"/>
      <c r="AF1572" s="52"/>
      <c r="AG1572" s="52"/>
      <c r="AH1572" s="52"/>
      <c r="AM1572" s="52"/>
      <c r="AN1572" s="52"/>
    </row>
    <row r="1573" spans="16:40" x14ac:dyDescent="0.2"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  <c r="AD1573" s="52"/>
      <c r="AE1573" s="52"/>
      <c r="AF1573" s="52"/>
      <c r="AG1573" s="52"/>
      <c r="AH1573" s="52"/>
      <c r="AM1573" s="52"/>
      <c r="AN1573" s="52"/>
    </row>
    <row r="1574" spans="16:40" x14ac:dyDescent="0.2"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  <c r="AD1574" s="52"/>
      <c r="AE1574" s="52"/>
      <c r="AF1574" s="52"/>
      <c r="AG1574" s="52"/>
      <c r="AH1574" s="52"/>
      <c r="AM1574" s="52"/>
      <c r="AN1574" s="52"/>
    </row>
    <row r="1575" spans="16:40" x14ac:dyDescent="0.2"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  <c r="AD1575" s="52"/>
      <c r="AE1575" s="52"/>
      <c r="AF1575" s="52"/>
      <c r="AG1575" s="52"/>
      <c r="AH1575" s="52"/>
      <c r="AM1575" s="52"/>
      <c r="AN1575" s="52"/>
    </row>
    <row r="1576" spans="16:40" x14ac:dyDescent="0.2"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  <c r="AD1576" s="52"/>
      <c r="AE1576" s="52"/>
      <c r="AF1576" s="52"/>
      <c r="AG1576" s="52"/>
      <c r="AH1576" s="52"/>
      <c r="AM1576" s="52"/>
      <c r="AN1576" s="52"/>
    </row>
    <row r="1577" spans="16:40" x14ac:dyDescent="0.2"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  <c r="AD1577" s="52"/>
      <c r="AE1577" s="52"/>
      <c r="AF1577" s="52"/>
      <c r="AG1577" s="52"/>
      <c r="AH1577" s="52"/>
      <c r="AM1577" s="52"/>
      <c r="AN1577" s="52"/>
    </row>
    <row r="1578" spans="16:40" x14ac:dyDescent="0.2"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  <c r="AD1578" s="52"/>
      <c r="AE1578" s="52"/>
      <c r="AF1578" s="52"/>
      <c r="AG1578" s="52"/>
      <c r="AH1578" s="52"/>
      <c r="AM1578" s="52"/>
      <c r="AN1578" s="52"/>
    </row>
    <row r="1579" spans="16:40" x14ac:dyDescent="0.2"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  <c r="AD1579" s="52"/>
      <c r="AE1579" s="52"/>
      <c r="AF1579" s="52"/>
      <c r="AG1579" s="52"/>
      <c r="AH1579" s="52"/>
      <c r="AM1579" s="52"/>
      <c r="AN1579" s="52"/>
    </row>
    <row r="1580" spans="16:40" x14ac:dyDescent="0.2"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  <c r="AD1580" s="52"/>
      <c r="AE1580" s="52"/>
      <c r="AF1580" s="52"/>
      <c r="AG1580" s="52"/>
      <c r="AH1580" s="52"/>
      <c r="AM1580" s="52"/>
      <c r="AN1580" s="52"/>
    </row>
    <row r="1581" spans="16:40" x14ac:dyDescent="0.2"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  <c r="AD1581" s="52"/>
      <c r="AE1581" s="52"/>
      <c r="AF1581" s="52"/>
      <c r="AG1581" s="52"/>
      <c r="AH1581" s="52"/>
      <c r="AM1581" s="52"/>
      <c r="AN1581" s="52"/>
    </row>
    <row r="1582" spans="16:40" x14ac:dyDescent="0.2"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  <c r="AD1582" s="52"/>
      <c r="AE1582" s="52"/>
      <c r="AF1582" s="52"/>
      <c r="AG1582" s="52"/>
      <c r="AH1582" s="52"/>
      <c r="AM1582" s="52"/>
      <c r="AN1582" s="52"/>
    </row>
    <row r="1583" spans="16:40" x14ac:dyDescent="0.2"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  <c r="AD1583" s="52"/>
      <c r="AE1583" s="52"/>
      <c r="AF1583" s="52"/>
      <c r="AG1583" s="52"/>
      <c r="AH1583" s="52"/>
      <c r="AM1583" s="52"/>
      <c r="AN1583" s="52"/>
    </row>
    <row r="1584" spans="16:40" x14ac:dyDescent="0.2"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  <c r="AD1584" s="52"/>
      <c r="AE1584" s="52"/>
      <c r="AF1584" s="52"/>
      <c r="AG1584" s="52"/>
      <c r="AH1584" s="52"/>
      <c r="AM1584" s="52"/>
      <c r="AN1584" s="52"/>
    </row>
    <row r="1585" spans="16:40" x14ac:dyDescent="0.2"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  <c r="AD1585" s="52"/>
      <c r="AE1585" s="52"/>
      <c r="AF1585" s="52"/>
      <c r="AG1585" s="52"/>
      <c r="AH1585" s="52"/>
      <c r="AM1585" s="52"/>
      <c r="AN1585" s="52"/>
    </row>
    <row r="1586" spans="16:40" x14ac:dyDescent="0.2"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  <c r="AD1586" s="52"/>
      <c r="AE1586" s="52"/>
      <c r="AF1586" s="52"/>
      <c r="AG1586" s="52"/>
      <c r="AH1586" s="52"/>
      <c r="AM1586" s="52"/>
      <c r="AN1586" s="52"/>
    </row>
    <row r="1587" spans="16:40" x14ac:dyDescent="0.2"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  <c r="AD1587" s="52"/>
      <c r="AE1587" s="52"/>
      <c r="AF1587" s="52"/>
      <c r="AG1587" s="52"/>
      <c r="AH1587" s="52"/>
      <c r="AM1587" s="52"/>
      <c r="AN1587" s="52"/>
    </row>
    <row r="1588" spans="16:40" x14ac:dyDescent="0.2"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  <c r="AD1588" s="52"/>
      <c r="AE1588" s="52"/>
      <c r="AF1588" s="52"/>
      <c r="AG1588" s="52"/>
      <c r="AH1588" s="52"/>
      <c r="AM1588" s="52"/>
      <c r="AN1588" s="52"/>
    </row>
    <row r="1589" spans="16:40" x14ac:dyDescent="0.2"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  <c r="AD1589" s="52"/>
      <c r="AE1589" s="52"/>
      <c r="AF1589" s="52"/>
      <c r="AG1589" s="52"/>
      <c r="AH1589" s="52"/>
      <c r="AM1589" s="52"/>
      <c r="AN1589" s="52"/>
    </row>
    <row r="1590" spans="16:40" x14ac:dyDescent="0.2"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  <c r="AD1590" s="52"/>
      <c r="AE1590" s="52"/>
      <c r="AF1590" s="52"/>
      <c r="AG1590" s="52"/>
      <c r="AH1590" s="52"/>
      <c r="AM1590" s="52"/>
      <c r="AN1590" s="52"/>
    </row>
    <row r="1591" spans="16:40" x14ac:dyDescent="0.2"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  <c r="AD1591" s="52"/>
      <c r="AE1591" s="52"/>
      <c r="AF1591" s="52"/>
      <c r="AG1591" s="52"/>
      <c r="AH1591" s="52"/>
      <c r="AM1591" s="52"/>
      <c r="AN1591" s="52"/>
    </row>
    <row r="1592" spans="16:40" x14ac:dyDescent="0.2"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  <c r="AD1592" s="52"/>
      <c r="AE1592" s="52"/>
      <c r="AF1592" s="52"/>
      <c r="AG1592" s="52"/>
      <c r="AH1592" s="52"/>
      <c r="AM1592" s="52"/>
      <c r="AN1592" s="52"/>
    </row>
    <row r="1593" spans="16:40" x14ac:dyDescent="0.2"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  <c r="AD1593" s="52"/>
      <c r="AE1593" s="52"/>
      <c r="AF1593" s="52"/>
      <c r="AG1593" s="52"/>
      <c r="AH1593" s="52"/>
      <c r="AM1593" s="52"/>
      <c r="AN1593" s="52"/>
    </row>
    <row r="1594" spans="16:40" x14ac:dyDescent="0.2"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  <c r="AD1594" s="52"/>
      <c r="AE1594" s="52"/>
      <c r="AF1594" s="52"/>
      <c r="AG1594" s="52"/>
      <c r="AH1594" s="52"/>
      <c r="AM1594" s="52"/>
      <c r="AN1594" s="52"/>
    </row>
    <row r="1595" spans="16:40" x14ac:dyDescent="0.2"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  <c r="AD1595" s="52"/>
      <c r="AE1595" s="52"/>
      <c r="AF1595" s="52"/>
      <c r="AG1595" s="52"/>
      <c r="AH1595" s="52"/>
      <c r="AM1595" s="52"/>
      <c r="AN1595" s="52"/>
    </row>
    <row r="1596" spans="16:40" x14ac:dyDescent="0.2"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  <c r="AD1596" s="52"/>
      <c r="AE1596" s="52"/>
      <c r="AF1596" s="52"/>
      <c r="AG1596" s="52"/>
      <c r="AH1596" s="52"/>
      <c r="AM1596" s="52"/>
      <c r="AN1596" s="52"/>
    </row>
    <row r="1597" spans="16:40" x14ac:dyDescent="0.2"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  <c r="AD1597" s="52"/>
      <c r="AE1597" s="52"/>
      <c r="AF1597" s="52"/>
      <c r="AG1597" s="52"/>
      <c r="AH1597" s="52"/>
      <c r="AM1597" s="52"/>
      <c r="AN1597" s="52"/>
    </row>
    <row r="1598" spans="16:40" x14ac:dyDescent="0.2"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  <c r="AD1598" s="52"/>
      <c r="AE1598" s="52"/>
      <c r="AF1598" s="52"/>
      <c r="AG1598" s="52"/>
      <c r="AH1598" s="52"/>
      <c r="AM1598" s="52"/>
      <c r="AN1598" s="52"/>
    </row>
    <row r="1599" spans="16:40" x14ac:dyDescent="0.2"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  <c r="AD1599" s="52"/>
      <c r="AE1599" s="52"/>
      <c r="AF1599" s="52"/>
      <c r="AG1599" s="52"/>
      <c r="AH1599" s="52"/>
      <c r="AM1599" s="52"/>
      <c r="AN1599" s="52"/>
    </row>
    <row r="1600" spans="16:40" x14ac:dyDescent="0.2"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  <c r="AD1600" s="52"/>
      <c r="AE1600" s="52"/>
      <c r="AF1600" s="52"/>
      <c r="AG1600" s="52"/>
      <c r="AH1600" s="52"/>
      <c r="AM1600" s="52"/>
      <c r="AN1600" s="52"/>
    </row>
    <row r="1601" spans="16:40" x14ac:dyDescent="0.2"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  <c r="AD1601" s="52"/>
      <c r="AE1601" s="52"/>
      <c r="AF1601" s="52"/>
      <c r="AG1601" s="52"/>
      <c r="AH1601" s="52"/>
      <c r="AM1601" s="52"/>
      <c r="AN1601" s="52"/>
    </row>
    <row r="1602" spans="16:40" x14ac:dyDescent="0.2"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  <c r="AD1602" s="52"/>
      <c r="AE1602" s="52"/>
      <c r="AF1602" s="52"/>
      <c r="AG1602" s="52"/>
      <c r="AH1602" s="52"/>
      <c r="AM1602" s="52"/>
      <c r="AN1602" s="52"/>
    </row>
    <row r="1603" spans="16:40" x14ac:dyDescent="0.2"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  <c r="AD1603" s="52"/>
      <c r="AE1603" s="52"/>
      <c r="AF1603" s="52"/>
      <c r="AG1603" s="52"/>
      <c r="AH1603" s="52"/>
      <c r="AM1603" s="52"/>
      <c r="AN1603" s="52"/>
    </row>
    <row r="1604" spans="16:40" x14ac:dyDescent="0.2"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  <c r="AD1604" s="52"/>
      <c r="AE1604" s="52"/>
      <c r="AF1604" s="52"/>
      <c r="AG1604" s="52"/>
      <c r="AH1604" s="52"/>
      <c r="AM1604" s="52"/>
      <c r="AN1604" s="52"/>
    </row>
    <row r="1605" spans="16:40" x14ac:dyDescent="0.2"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  <c r="AD1605" s="52"/>
      <c r="AE1605" s="52"/>
      <c r="AF1605" s="52"/>
      <c r="AG1605" s="52"/>
      <c r="AH1605" s="52"/>
      <c r="AM1605" s="52"/>
      <c r="AN1605" s="52"/>
    </row>
    <row r="1606" spans="16:40" x14ac:dyDescent="0.2"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  <c r="AD1606" s="52"/>
      <c r="AE1606" s="52"/>
      <c r="AF1606" s="52"/>
      <c r="AG1606" s="52"/>
      <c r="AH1606" s="52"/>
      <c r="AM1606" s="52"/>
      <c r="AN1606" s="52"/>
    </row>
    <row r="1607" spans="16:40" x14ac:dyDescent="0.2"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  <c r="AD1607" s="52"/>
      <c r="AE1607" s="52"/>
      <c r="AF1607" s="52"/>
      <c r="AG1607" s="52"/>
      <c r="AH1607" s="52"/>
      <c r="AM1607" s="52"/>
      <c r="AN1607" s="52"/>
    </row>
    <row r="1608" spans="16:40" x14ac:dyDescent="0.2"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  <c r="AD1608" s="52"/>
      <c r="AE1608" s="52"/>
      <c r="AF1608" s="52"/>
      <c r="AG1608" s="52"/>
      <c r="AH1608" s="52"/>
      <c r="AM1608" s="52"/>
      <c r="AN1608" s="52"/>
    </row>
    <row r="1609" spans="16:40" x14ac:dyDescent="0.2"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  <c r="AD1609" s="52"/>
      <c r="AE1609" s="52"/>
      <c r="AF1609" s="52"/>
      <c r="AG1609" s="52"/>
      <c r="AH1609" s="52"/>
      <c r="AM1609" s="52"/>
      <c r="AN1609" s="52"/>
    </row>
    <row r="1610" spans="16:40" x14ac:dyDescent="0.2"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  <c r="AD1610" s="52"/>
      <c r="AE1610" s="52"/>
      <c r="AF1610" s="52"/>
      <c r="AG1610" s="52"/>
      <c r="AH1610" s="52"/>
      <c r="AM1610" s="52"/>
      <c r="AN1610" s="52"/>
    </row>
    <row r="1611" spans="16:40" x14ac:dyDescent="0.2"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  <c r="AD1611" s="52"/>
      <c r="AE1611" s="52"/>
      <c r="AF1611" s="52"/>
      <c r="AG1611" s="52"/>
      <c r="AH1611" s="52"/>
      <c r="AM1611" s="52"/>
      <c r="AN1611" s="52"/>
    </row>
    <row r="1612" spans="16:40" x14ac:dyDescent="0.2"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  <c r="AD1612" s="52"/>
      <c r="AE1612" s="52"/>
      <c r="AF1612" s="52"/>
      <c r="AG1612" s="52"/>
      <c r="AH1612" s="52"/>
      <c r="AM1612" s="52"/>
      <c r="AN1612" s="52"/>
    </row>
    <row r="1613" spans="16:40" x14ac:dyDescent="0.2"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  <c r="AD1613" s="52"/>
      <c r="AE1613" s="52"/>
      <c r="AF1613" s="52"/>
      <c r="AG1613" s="52"/>
      <c r="AH1613" s="52"/>
      <c r="AM1613" s="52"/>
      <c r="AN1613" s="52"/>
    </row>
    <row r="1614" spans="16:40" x14ac:dyDescent="0.2"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  <c r="AD1614" s="52"/>
      <c r="AE1614" s="52"/>
      <c r="AF1614" s="52"/>
      <c r="AG1614" s="52"/>
      <c r="AH1614" s="52"/>
      <c r="AM1614" s="52"/>
      <c r="AN1614" s="52"/>
    </row>
    <row r="1615" spans="16:40" x14ac:dyDescent="0.2"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  <c r="AD1615" s="52"/>
      <c r="AE1615" s="52"/>
      <c r="AF1615" s="52"/>
      <c r="AG1615" s="52"/>
      <c r="AH1615" s="52"/>
      <c r="AM1615" s="52"/>
      <c r="AN1615" s="52"/>
    </row>
    <row r="1616" spans="16:40" x14ac:dyDescent="0.2"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  <c r="AD1616" s="52"/>
      <c r="AE1616" s="52"/>
      <c r="AF1616" s="52"/>
      <c r="AG1616" s="52"/>
      <c r="AH1616" s="52"/>
      <c r="AM1616" s="52"/>
      <c r="AN1616" s="52"/>
    </row>
    <row r="1617" spans="16:40" x14ac:dyDescent="0.2"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  <c r="AD1617" s="52"/>
      <c r="AE1617" s="52"/>
      <c r="AF1617" s="52"/>
      <c r="AG1617" s="52"/>
      <c r="AH1617" s="52"/>
      <c r="AM1617" s="52"/>
      <c r="AN1617" s="52"/>
    </row>
    <row r="1618" spans="16:40" x14ac:dyDescent="0.2"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  <c r="AD1618" s="52"/>
      <c r="AE1618" s="52"/>
      <c r="AF1618" s="52"/>
      <c r="AG1618" s="52"/>
      <c r="AH1618" s="52"/>
      <c r="AM1618" s="52"/>
      <c r="AN1618" s="52"/>
    </row>
    <row r="1619" spans="16:40" x14ac:dyDescent="0.2"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  <c r="AD1619" s="52"/>
      <c r="AE1619" s="52"/>
      <c r="AF1619" s="52"/>
      <c r="AG1619" s="52"/>
      <c r="AH1619" s="52"/>
      <c r="AM1619" s="52"/>
      <c r="AN1619" s="52"/>
    </row>
    <row r="1620" spans="16:40" x14ac:dyDescent="0.2"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  <c r="AD1620" s="52"/>
      <c r="AE1620" s="52"/>
      <c r="AF1620" s="52"/>
      <c r="AG1620" s="52"/>
      <c r="AH1620" s="52"/>
      <c r="AM1620" s="52"/>
      <c r="AN1620" s="52"/>
    </row>
    <row r="1621" spans="16:40" x14ac:dyDescent="0.2"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  <c r="AD1621" s="52"/>
      <c r="AE1621" s="52"/>
      <c r="AF1621" s="52"/>
      <c r="AG1621" s="52"/>
      <c r="AH1621" s="52"/>
      <c r="AM1621" s="52"/>
      <c r="AN1621" s="52"/>
    </row>
    <row r="1622" spans="16:40" x14ac:dyDescent="0.2"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2"/>
      <c r="AE1622" s="52"/>
      <c r="AF1622" s="52"/>
      <c r="AG1622" s="52"/>
      <c r="AH1622" s="52"/>
      <c r="AM1622" s="52"/>
      <c r="AN1622" s="52"/>
    </row>
    <row r="1623" spans="16:40" x14ac:dyDescent="0.2"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  <c r="AD1623" s="52"/>
      <c r="AE1623" s="52"/>
      <c r="AF1623" s="52"/>
      <c r="AG1623" s="52"/>
      <c r="AH1623" s="52"/>
      <c r="AM1623" s="52"/>
      <c r="AN1623" s="52"/>
    </row>
    <row r="1624" spans="16:40" x14ac:dyDescent="0.2"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  <c r="AD1624" s="52"/>
      <c r="AE1624" s="52"/>
      <c r="AF1624" s="52"/>
      <c r="AG1624" s="52"/>
      <c r="AH1624" s="52"/>
      <c r="AM1624" s="52"/>
      <c r="AN1624" s="52"/>
    </row>
    <row r="1625" spans="16:40" x14ac:dyDescent="0.2"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  <c r="AD1625" s="52"/>
      <c r="AE1625" s="52"/>
      <c r="AF1625" s="52"/>
      <c r="AG1625" s="52"/>
      <c r="AH1625" s="52"/>
      <c r="AM1625" s="52"/>
      <c r="AN1625" s="52"/>
    </row>
    <row r="1626" spans="16:40" x14ac:dyDescent="0.2"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  <c r="AD1626" s="52"/>
      <c r="AE1626" s="52"/>
      <c r="AF1626" s="52"/>
      <c r="AG1626" s="52"/>
      <c r="AH1626" s="52"/>
      <c r="AM1626" s="52"/>
      <c r="AN1626" s="52"/>
    </row>
    <row r="1627" spans="16:40" x14ac:dyDescent="0.2"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  <c r="AD1627" s="52"/>
      <c r="AE1627" s="52"/>
      <c r="AF1627" s="52"/>
      <c r="AG1627" s="52"/>
      <c r="AH1627" s="52"/>
      <c r="AM1627" s="52"/>
      <c r="AN1627" s="52"/>
    </row>
    <row r="1628" spans="16:40" x14ac:dyDescent="0.2"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  <c r="AD1628" s="52"/>
      <c r="AE1628" s="52"/>
      <c r="AF1628" s="52"/>
      <c r="AG1628" s="52"/>
      <c r="AH1628" s="52"/>
      <c r="AM1628" s="52"/>
      <c r="AN1628" s="52"/>
    </row>
    <row r="1629" spans="16:40" x14ac:dyDescent="0.2"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  <c r="AD1629" s="52"/>
      <c r="AE1629" s="52"/>
      <c r="AF1629" s="52"/>
      <c r="AG1629" s="52"/>
      <c r="AH1629" s="52"/>
      <c r="AM1629" s="52"/>
      <c r="AN1629" s="52"/>
    </row>
    <row r="1630" spans="16:40" x14ac:dyDescent="0.2"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  <c r="AD1630" s="52"/>
      <c r="AE1630" s="52"/>
      <c r="AF1630" s="52"/>
      <c r="AG1630" s="52"/>
      <c r="AH1630" s="52"/>
      <c r="AM1630" s="52"/>
      <c r="AN1630" s="52"/>
    </row>
    <row r="1631" spans="16:40" x14ac:dyDescent="0.2"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  <c r="AD1631" s="52"/>
      <c r="AE1631" s="52"/>
      <c r="AF1631" s="52"/>
      <c r="AG1631" s="52"/>
      <c r="AH1631" s="52"/>
      <c r="AM1631" s="52"/>
      <c r="AN1631" s="52"/>
    </row>
    <row r="1632" spans="16:40" x14ac:dyDescent="0.2"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  <c r="AD1632" s="52"/>
      <c r="AE1632" s="52"/>
      <c r="AF1632" s="52"/>
      <c r="AG1632" s="52"/>
      <c r="AH1632" s="52"/>
      <c r="AM1632" s="52"/>
      <c r="AN1632" s="52"/>
    </row>
    <row r="1633" spans="16:40" x14ac:dyDescent="0.2"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  <c r="AD1633" s="52"/>
      <c r="AE1633" s="52"/>
      <c r="AF1633" s="52"/>
      <c r="AG1633" s="52"/>
      <c r="AH1633" s="52"/>
      <c r="AM1633" s="52"/>
      <c r="AN1633" s="52"/>
    </row>
    <row r="1634" spans="16:40" x14ac:dyDescent="0.2"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  <c r="AD1634" s="52"/>
      <c r="AE1634" s="52"/>
      <c r="AF1634" s="52"/>
      <c r="AG1634" s="52"/>
      <c r="AH1634" s="52"/>
      <c r="AM1634" s="52"/>
      <c r="AN1634" s="52"/>
    </row>
    <row r="1635" spans="16:40" x14ac:dyDescent="0.2"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  <c r="AD1635" s="52"/>
      <c r="AE1635" s="52"/>
      <c r="AF1635" s="52"/>
      <c r="AG1635" s="52"/>
      <c r="AH1635" s="52"/>
      <c r="AM1635" s="52"/>
      <c r="AN1635" s="52"/>
    </row>
    <row r="1636" spans="16:40" x14ac:dyDescent="0.2"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  <c r="AD1636" s="52"/>
      <c r="AE1636" s="52"/>
      <c r="AF1636" s="52"/>
      <c r="AG1636" s="52"/>
      <c r="AH1636" s="52"/>
      <c r="AM1636" s="52"/>
      <c r="AN1636" s="52"/>
    </row>
    <row r="1637" spans="16:40" x14ac:dyDescent="0.2"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  <c r="AD1637" s="52"/>
      <c r="AE1637" s="52"/>
      <c r="AF1637" s="52"/>
      <c r="AG1637" s="52"/>
      <c r="AH1637" s="52"/>
      <c r="AM1637" s="52"/>
      <c r="AN1637" s="52"/>
    </row>
    <row r="1638" spans="16:40" x14ac:dyDescent="0.2"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  <c r="AD1638" s="52"/>
      <c r="AE1638" s="52"/>
      <c r="AF1638" s="52"/>
      <c r="AG1638" s="52"/>
      <c r="AH1638" s="52"/>
      <c r="AM1638" s="52"/>
      <c r="AN1638" s="52"/>
    </row>
    <row r="1639" spans="16:40" x14ac:dyDescent="0.2"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  <c r="AD1639" s="52"/>
      <c r="AE1639" s="52"/>
      <c r="AF1639" s="52"/>
      <c r="AG1639" s="52"/>
      <c r="AH1639" s="52"/>
      <c r="AM1639" s="52"/>
      <c r="AN1639" s="52"/>
    </row>
    <row r="1640" spans="16:40" x14ac:dyDescent="0.2"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  <c r="AD1640" s="52"/>
      <c r="AE1640" s="52"/>
      <c r="AF1640" s="52"/>
      <c r="AG1640" s="52"/>
      <c r="AH1640" s="52"/>
      <c r="AM1640" s="52"/>
      <c r="AN1640" s="52"/>
    </row>
    <row r="1641" spans="16:40" x14ac:dyDescent="0.2"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  <c r="AD1641" s="52"/>
      <c r="AE1641" s="52"/>
      <c r="AF1641" s="52"/>
      <c r="AG1641" s="52"/>
      <c r="AH1641" s="52"/>
      <c r="AM1641" s="52"/>
      <c r="AN1641" s="52"/>
    </row>
    <row r="1642" spans="16:40" x14ac:dyDescent="0.2"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  <c r="AD1642" s="52"/>
      <c r="AE1642" s="52"/>
      <c r="AF1642" s="52"/>
      <c r="AG1642" s="52"/>
      <c r="AH1642" s="52"/>
      <c r="AM1642" s="52"/>
      <c r="AN1642" s="52"/>
    </row>
    <row r="1643" spans="16:40" x14ac:dyDescent="0.2"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  <c r="AD1643" s="52"/>
      <c r="AE1643" s="52"/>
      <c r="AF1643" s="52"/>
      <c r="AG1643" s="52"/>
      <c r="AH1643" s="52"/>
      <c r="AM1643" s="52"/>
      <c r="AN1643" s="52"/>
    </row>
    <row r="1644" spans="16:40" x14ac:dyDescent="0.2"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  <c r="AD1644" s="52"/>
      <c r="AE1644" s="52"/>
      <c r="AF1644" s="52"/>
      <c r="AG1644" s="52"/>
      <c r="AH1644" s="52"/>
      <c r="AM1644" s="52"/>
      <c r="AN1644" s="52"/>
    </row>
    <row r="1645" spans="16:40" x14ac:dyDescent="0.2"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  <c r="AD1645" s="52"/>
      <c r="AE1645" s="52"/>
      <c r="AF1645" s="52"/>
      <c r="AG1645" s="52"/>
      <c r="AH1645" s="52"/>
      <c r="AM1645" s="52"/>
      <c r="AN1645" s="52"/>
    </row>
    <row r="1646" spans="16:40" x14ac:dyDescent="0.2"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  <c r="AD1646" s="52"/>
      <c r="AE1646" s="52"/>
      <c r="AF1646" s="52"/>
      <c r="AG1646" s="52"/>
      <c r="AH1646" s="52"/>
      <c r="AM1646" s="52"/>
      <c r="AN1646" s="52"/>
    </row>
    <row r="1647" spans="16:40" x14ac:dyDescent="0.2"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  <c r="AD1647" s="52"/>
      <c r="AE1647" s="52"/>
      <c r="AF1647" s="52"/>
      <c r="AG1647" s="52"/>
      <c r="AH1647" s="52"/>
      <c r="AM1647" s="52"/>
      <c r="AN1647" s="52"/>
    </row>
    <row r="1648" spans="16:40" x14ac:dyDescent="0.2"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  <c r="AD1648" s="52"/>
      <c r="AE1648" s="52"/>
      <c r="AF1648" s="52"/>
      <c r="AG1648" s="52"/>
      <c r="AH1648" s="52"/>
      <c r="AM1648" s="52"/>
      <c r="AN1648" s="52"/>
    </row>
    <row r="1649" spans="16:40" x14ac:dyDescent="0.2"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  <c r="AD1649" s="52"/>
      <c r="AE1649" s="52"/>
      <c r="AF1649" s="52"/>
      <c r="AG1649" s="52"/>
      <c r="AH1649" s="52"/>
      <c r="AM1649" s="52"/>
      <c r="AN1649" s="52"/>
    </row>
    <row r="1650" spans="16:40" x14ac:dyDescent="0.2"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  <c r="AD1650" s="52"/>
      <c r="AE1650" s="52"/>
      <c r="AF1650" s="52"/>
      <c r="AG1650" s="52"/>
      <c r="AH1650" s="52"/>
      <c r="AM1650" s="52"/>
      <c r="AN1650" s="52"/>
    </row>
    <row r="1651" spans="16:40" x14ac:dyDescent="0.2"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  <c r="AD1651" s="52"/>
      <c r="AE1651" s="52"/>
      <c r="AF1651" s="52"/>
      <c r="AG1651" s="52"/>
      <c r="AH1651" s="52"/>
      <c r="AM1651" s="52"/>
      <c r="AN1651" s="52"/>
    </row>
    <row r="1652" spans="16:40" x14ac:dyDescent="0.2"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  <c r="AD1652" s="52"/>
      <c r="AE1652" s="52"/>
      <c r="AF1652" s="52"/>
      <c r="AG1652" s="52"/>
      <c r="AH1652" s="52"/>
      <c r="AM1652" s="52"/>
      <c r="AN1652" s="52"/>
    </row>
    <row r="1653" spans="16:40" x14ac:dyDescent="0.2"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  <c r="AD1653" s="52"/>
      <c r="AE1653" s="52"/>
      <c r="AF1653" s="52"/>
      <c r="AG1653" s="52"/>
      <c r="AH1653" s="52"/>
      <c r="AM1653" s="52"/>
      <c r="AN1653" s="52"/>
    </row>
    <row r="1654" spans="16:40" x14ac:dyDescent="0.2"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2"/>
      <c r="AE1654" s="52"/>
      <c r="AF1654" s="52"/>
      <c r="AG1654" s="52"/>
      <c r="AH1654" s="52"/>
      <c r="AM1654" s="52"/>
      <c r="AN1654" s="52"/>
    </row>
    <row r="1655" spans="16:40" x14ac:dyDescent="0.2"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  <c r="AD1655" s="52"/>
      <c r="AE1655" s="52"/>
      <c r="AF1655" s="52"/>
      <c r="AG1655" s="52"/>
      <c r="AH1655" s="52"/>
      <c r="AM1655" s="52"/>
      <c r="AN1655" s="52"/>
    </row>
    <row r="1656" spans="16:40" x14ac:dyDescent="0.2"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  <c r="AD1656" s="52"/>
      <c r="AE1656" s="52"/>
      <c r="AF1656" s="52"/>
      <c r="AG1656" s="52"/>
      <c r="AH1656" s="52"/>
      <c r="AM1656" s="52"/>
      <c r="AN1656" s="52"/>
    </row>
    <row r="1657" spans="16:40" x14ac:dyDescent="0.2"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  <c r="AD1657" s="52"/>
      <c r="AE1657" s="52"/>
      <c r="AF1657" s="52"/>
      <c r="AG1657" s="52"/>
      <c r="AH1657" s="52"/>
      <c r="AM1657" s="52"/>
      <c r="AN1657" s="52"/>
    </row>
    <row r="1658" spans="16:40" x14ac:dyDescent="0.2"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  <c r="AD1658" s="52"/>
      <c r="AE1658" s="52"/>
      <c r="AF1658" s="52"/>
      <c r="AG1658" s="52"/>
      <c r="AH1658" s="52"/>
      <c r="AM1658" s="52"/>
      <c r="AN1658" s="52"/>
    </row>
    <row r="1659" spans="16:40" x14ac:dyDescent="0.2"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  <c r="AD1659" s="52"/>
      <c r="AE1659" s="52"/>
      <c r="AF1659" s="52"/>
      <c r="AG1659" s="52"/>
      <c r="AH1659" s="52"/>
      <c r="AM1659" s="52"/>
      <c r="AN1659" s="52"/>
    </row>
    <row r="1660" spans="16:40" x14ac:dyDescent="0.2"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  <c r="AD1660" s="52"/>
      <c r="AE1660" s="52"/>
      <c r="AF1660" s="52"/>
      <c r="AG1660" s="52"/>
      <c r="AH1660" s="52"/>
      <c r="AM1660" s="52"/>
      <c r="AN1660" s="52"/>
    </row>
    <row r="1661" spans="16:40" x14ac:dyDescent="0.2"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  <c r="AD1661" s="52"/>
      <c r="AE1661" s="52"/>
      <c r="AF1661" s="52"/>
      <c r="AG1661" s="52"/>
      <c r="AH1661" s="52"/>
      <c r="AM1661" s="52"/>
      <c r="AN1661" s="52"/>
    </row>
    <row r="1662" spans="16:40" x14ac:dyDescent="0.2"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  <c r="AD1662" s="52"/>
      <c r="AE1662" s="52"/>
      <c r="AF1662" s="52"/>
      <c r="AG1662" s="52"/>
      <c r="AH1662" s="52"/>
      <c r="AM1662" s="52"/>
      <c r="AN1662" s="52"/>
    </row>
    <row r="1663" spans="16:40" x14ac:dyDescent="0.2"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  <c r="AD1663" s="52"/>
      <c r="AE1663" s="52"/>
      <c r="AF1663" s="52"/>
      <c r="AG1663" s="52"/>
      <c r="AH1663" s="52"/>
      <c r="AM1663" s="52"/>
      <c r="AN1663" s="52"/>
    </row>
    <row r="1664" spans="16:40" x14ac:dyDescent="0.2"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  <c r="AD1664" s="52"/>
      <c r="AE1664" s="52"/>
      <c r="AF1664" s="52"/>
      <c r="AG1664" s="52"/>
      <c r="AH1664" s="52"/>
      <c r="AM1664" s="52"/>
      <c r="AN1664" s="52"/>
    </row>
    <row r="1665" spans="16:40" x14ac:dyDescent="0.2"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  <c r="AD1665" s="52"/>
      <c r="AE1665" s="52"/>
      <c r="AF1665" s="52"/>
      <c r="AG1665" s="52"/>
      <c r="AH1665" s="52"/>
      <c r="AM1665" s="52"/>
      <c r="AN1665" s="52"/>
    </row>
    <row r="1666" spans="16:40" x14ac:dyDescent="0.2"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  <c r="AD1666" s="52"/>
      <c r="AE1666" s="52"/>
      <c r="AF1666" s="52"/>
      <c r="AG1666" s="52"/>
      <c r="AH1666" s="52"/>
      <c r="AM1666" s="52"/>
      <c r="AN1666" s="52"/>
    </row>
    <row r="1667" spans="16:40" x14ac:dyDescent="0.2"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  <c r="AD1667" s="52"/>
      <c r="AE1667" s="52"/>
      <c r="AF1667" s="52"/>
      <c r="AG1667" s="52"/>
      <c r="AH1667" s="52"/>
      <c r="AM1667" s="52"/>
      <c r="AN1667" s="52"/>
    </row>
    <row r="1668" spans="16:40" x14ac:dyDescent="0.2"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  <c r="AD1668" s="52"/>
      <c r="AE1668" s="52"/>
      <c r="AF1668" s="52"/>
      <c r="AG1668" s="52"/>
      <c r="AH1668" s="52"/>
      <c r="AM1668" s="52"/>
      <c r="AN1668" s="52"/>
    </row>
    <row r="1669" spans="16:40" x14ac:dyDescent="0.2"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  <c r="AD1669" s="52"/>
      <c r="AE1669" s="52"/>
      <c r="AF1669" s="52"/>
      <c r="AG1669" s="52"/>
      <c r="AH1669" s="52"/>
      <c r="AM1669" s="52"/>
      <c r="AN1669" s="52"/>
    </row>
    <row r="1670" spans="16:40" x14ac:dyDescent="0.2"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  <c r="AD1670" s="52"/>
      <c r="AE1670" s="52"/>
      <c r="AF1670" s="52"/>
      <c r="AG1670" s="52"/>
      <c r="AH1670" s="52"/>
      <c r="AM1670" s="52"/>
      <c r="AN1670" s="52"/>
    </row>
    <row r="1671" spans="16:40" x14ac:dyDescent="0.2"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  <c r="AD1671" s="52"/>
      <c r="AE1671" s="52"/>
      <c r="AF1671" s="52"/>
      <c r="AG1671" s="52"/>
      <c r="AH1671" s="52"/>
      <c r="AM1671" s="52"/>
      <c r="AN1671" s="52"/>
    </row>
    <row r="1672" spans="16:40" x14ac:dyDescent="0.2"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  <c r="AD1672" s="52"/>
      <c r="AE1672" s="52"/>
      <c r="AF1672" s="52"/>
      <c r="AG1672" s="52"/>
      <c r="AH1672" s="52"/>
      <c r="AM1672" s="52"/>
      <c r="AN1672" s="52"/>
    </row>
    <row r="1673" spans="16:40" x14ac:dyDescent="0.2"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  <c r="AD1673" s="52"/>
      <c r="AE1673" s="52"/>
      <c r="AF1673" s="52"/>
      <c r="AG1673" s="52"/>
      <c r="AH1673" s="52"/>
      <c r="AM1673" s="52"/>
      <c r="AN1673" s="52"/>
    </row>
    <row r="1674" spans="16:40" x14ac:dyDescent="0.2"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  <c r="AD1674" s="52"/>
      <c r="AE1674" s="52"/>
      <c r="AF1674" s="52"/>
      <c r="AG1674" s="52"/>
      <c r="AH1674" s="52"/>
      <c r="AM1674" s="52"/>
      <c r="AN1674" s="52"/>
    </row>
    <row r="1675" spans="16:40" x14ac:dyDescent="0.2"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  <c r="AD1675" s="52"/>
      <c r="AE1675" s="52"/>
      <c r="AF1675" s="52"/>
      <c r="AG1675" s="52"/>
      <c r="AH1675" s="52"/>
      <c r="AM1675" s="52"/>
      <c r="AN1675" s="52"/>
    </row>
    <row r="1676" spans="16:40" x14ac:dyDescent="0.2"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  <c r="AD1676" s="52"/>
      <c r="AE1676" s="52"/>
      <c r="AF1676" s="52"/>
      <c r="AG1676" s="52"/>
      <c r="AH1676" s="52"/>
      <c r="AM1676" s="52"/>
      <c r="AN1676" s="52"/>
    </row>
    <row r="1677" spans="16:40" x14ac:dyDescent="0.2"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  <c r="AD1677" s="52"/>
      <c r="AE1677" s="52"/>
      <c r="AF1677" s="52"/>
      <c r="AG1677" s="52"/>
      <c r="AH1677" s="52"/>
      <c r="AM1677" s="52"/>
      <c r="AN1677" s="52"/>
    </row>
    <row r="1678" spans="16:40" x14ac:dyDescent="0.2"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  <c r="AD1678" s="52"/>
      <c r="AE1678" s="52"/>
      <c r="AF1678" s="52"/>
      <c r="AG1678" s="52"/>
      <c r="AH1678" s="52"/>
      <c r="AM1678" s="52"/>
      <c r="AN1678" s="52"/>
    </row>
    <row r="1679" spans="16:40" x14ac:dyDescent="0.2"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  <c r="AD1679" s="52"/>
      <c r="AE1679" s="52"/>
      <c r="AF1679" s="52"/>
      <c r="AG1679" s="52"/>
      <c r="AH1679" s="52"/>
      <c r="AM1679" s="52"/>
      <c r="AN1679" s="52"/>
    </row>
    <row r="1680" spans="16:40" x14ac:dyDescent="0.2"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  <c r="AD1680" s="52"/>
      <c r="AE1680" s="52"/>
      <c r="AF1680" s="52"/>
      <c r="AG1680" s="52"/>
      <c r="AH1680" s="52"/>
      <c r="AM1680" s="52"/>
      <c r="AN1680" s="52"/>
    </row>
    <row r="1681" spans="16:40" x14ac:dyDescent="0.2"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  <c r="AD1681" s="52"/>
      <c r="AE1681" s="52"/>
      <c r="AF1681" s="52"/>
      <c r="AG1681" s="52"/>
      <c r="AH1681" s="52"/>
      <c r="AM1681" s="52"/>
      <c r="AN1681" s="52"/>
    </row>
    <row r="1682" spans="16:40" x14ac:dyDescent="0.2"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  <c r="AD1682" s="52"/>
      <c r="AE1682" s="52"/>
      <c r="AF1682" s="52"/>
      <c r="AG1682" s="52"/>
      <c r="AH1682" s="52"/>
      <c r="AM1682" s="52"/>
      <c r="AN1682" s="52"/>
    </row>
    <row r="1683" spans="16:40" x14ac:dyDescent="0.2"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  <c r="AD1683" s="52"/>
      <c r="AE1683" s="52"/>
      <c r="AF1683" s="52"/>
      <c r="AG1683" s="52"/>
      <c r="AH1683" s="52"/>
      <c r="AM1683" s="52"/>
      <c r="AN1683" s="52"/>
    </row>
    <row r="1684" spans="16:40" x14ac:dyDescent="0.2"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  <c r="AD1684" s="52"/>
      <c r="AE1684" s="52"/>
      <c r="AF1684" s="52"/>
      <c r="AG1684" s="52"/>
      <c r="AH1684" s="52"/>
      <c r="AM1684" s="52"/>
      <c r="AN1684" s="52"/>
    </row>
    <row r="1685" spans="16:40" x14ac:dyDescent="0.2"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  <c r="AD1685" s="52"/>
      <c r="AE1685" s="52"/>
      <c r="AF1685" s="52"/>
      <c r="AG1685" s="52"/>
      <c r="AH1685" s="52"/>
      <c r="AM1685" s="52"/>
      <c r="AN1685" s="52"/>
    </row>
    <row r="1686" spans="16:40" x14ac:dyDescent="0.2"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  <c r="AD1686" s="52"/>
      <c r="AE1686" s="52"/>
      <c r="AF1686" s="52"/>
      <c r="AG1686" s="52"/>
      <c r="AH1686" s="52"/>
      <c r="AM1686" s="52"/>
      <c r="AN1686" s="52"/>
    </row>
    <row r="1687" spans="16:40" x14ac:dyDescent="0.2"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  <c r="AD1687" s="52"/>
      <c r="AE1687" s="52"/>
      <c r="AF1687" s="52"/>
      <c r="AG1687" s="52"/>
      <c r="AH1687" s="52"/>
      <c r="AM1687" s="52"/>
      <c r="AN1687" s="52"/>
    </row>
    <row r="1688" spans="16:40" x14ac:dyDescent="0.2"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  <c r="AD1688" s="52"/>
      <c r="AE1688" s="52"/>
      <c r="AF1688" s="52"/>
      <c r="AG1688" s="52"/>
      <c r="AH1688" s="52"/>
      <c r="AM1688" s="52"/>
      <c r="AN1688" s="52"/>
    </row>
    <row r="1689" spans="16:40" x14ac:dyDescent="0.2"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  <c r="AD1689" s="52"/>
      <c r="AE1689" s="52"/>
      <c r="AF1689" s="52"/>
      <c r="AG1689" s="52"/>
      <c r="AH1689" s="52"/>
      <c r="AM1689" s="52"/>
      <c r="AN1689" s="52"/>
    </row>
    <row r="1690" spans="16:40" x14ac:dyDescent="0.2"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  <c r="AD1690" s="52"/>
      <c r="AE1690" s="52"/>
      <c r="AF1690" s="52"/>
      <c r="AG1690" s="52"/>
      <c r="AH1690" s="52"/>
      <c r="AM1690" s="52"/>
      <c r="AN1690" s="52"/>
    </row>
    <row r="1691" spans="16:40" x14ac:dyDescent="0.2"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  <c r="AD1691" s="52"/>
      <c r="AE1691" s="52"/>
      <c r="AF1691" s="52"/>
      <c r="AG1691" s="52"/>
      <c r="AH1691" s="52"/>
      <c r="AM1691" s="52"/>
      <c r="AN1691" s="52"/>
    </row>
    <row r="1692" spans="16:40" x14ac:dyDescent="0.2"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  <c r="AD1692" s="52"/>
      <c r="AE1692" s="52"/>
      <c r="AF1692" s="52"/>
      <c r="AG1692" s="52"/>
      <c r="AH1692" s="52"/>
      <c r="AM1692" s="52"/>
      <c r="AN1692" s="52"/>
    </row>
    <row r="1693" spans="16:40" x14ac:dyDescent="0.2"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  <c r="AD1693" s="52"/>
      <c r="AE1693" s="52"/>
      <c r="AF1693" s="52"/>
      <c r="AG1693" s="52"/>
      <c r="AH1693" s="52"/>
      <c r="AM1693" s="52"/>
      <c r="AN1693" s="52"/>
    </row>
    <row r="1694" spans="16:40" x14ac:dyDescent="0.2"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  <c r="AD1694" s="52"/>
      <c r="AE1694" s="52"/>
      <c r="AF1694" s="52"/>
      <c r="AG1694" s="52"/>
      <c r="AH1694" s="52"/>
      <c r="AM1694" s="52"/>
      <c r="AN1694" s="52"/>
    </row>
    <row r="1695" spans="16:40" x14ac:dyDescent="0.2"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  <c r="AD1695" s="52"/>
      <c r="AE1695" s="52"/>
      <c r="AF1695" s="52"/>
      <c r="AG1695" s="52"/>
      <c r="AH1695" s="52"/>
      <c r="AM1695" s="52"/>
      <c r="AN1695" s="52"/>
    </row>
    <row r="1696" spans="16:40" x14ac:dyDescent="0.2"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  <c r="AD1696" s="52"/>
      <c r="AE1696" s="52"/>
      <c r="AF1696" s="52"/>
      <c r="AG1696" s="52"/>
      <c r="AH1696" s="52"/>
      <c r="AM1696" s="52"/>
      <c r="AN1696" s="52"/>
    </row>
    <row r="1697" spans="16:40" x14ac:dyDescent="0.2"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  <c r="AD1697" s="52"/>
      <c r="AE1697" s="52"/>
      <c r="AF1697" s="52"/>
      <c r="AG1697" s="52"/>
      <c r="AH1697" s="52"/>
      <c r="AM1697" s="52"/>
      <c r="AN1697" s="52"/>
    </row>
    <row r="1698" spans="16:40" x14ac:dyDescent="0.2"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2"/>
      <c r="AE1698" s="52"/>
      <c r="AF1698" s="52"/>
      <c r="AG1698" s="52"/>
      <c r="AH1698" s="52"/>
      <c r="AM1698" s="52"/>
      <c r="AN1698" s="52"/>
    </row>
    <row r="1699" spans="16:40" x14ac:dyDescent="0.2"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  <c r="AD1699" s="52"/>
      <c r="AE1699" s="52"/>
      <c r="AF1699" s="52"/>
      <c r="AG1699" s="52"/>
      <c r="AH1699" s="52"/>
      <c r="AM1699" s="52"/>
      <c r="AN1699" s="52"/>
    </row>
    <row r="1700" spans="16:40" x14ac:dyDescent="0.2"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  <c r="AD1700" s="52"/>
      <c r="AE1700" s="52"/>
      <c r="AF1700" s="52"/>
      <c r="AG1700" s="52"/>
      <c r="AH1700" s="52"/>
      <c r="AM1700" s="52"/>
      <c r="AN1700" s="52"/>
    </row>
    <row r="1701" spans="16:40" x14ac:dyDescent="0.2"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  <c r="AD1701" s="52"/>
      <c r="AE1701" s="52"/>
      <c r="AF1701" s="52"/>
      <c r="AG1701" s="52"/>
      <c r="AH1701" s="52"/>
      <c r="AM1701" s="52"/>
      <c r="AN1701" s="52"/>
    </row>
    <row r="1702" spans="16:40" x14ac:dyDescent="0.2"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  <c r="AD1702" s="52"/>
      <c r="AE1702" s="52"/>
      <c r="AF1702" s="52"/>
      <c r="AG1702" s="52"/>
      <c r="AH1702" s="52"/>
      <c r="AM1702" s="52"/>
      <c r="AN1702" s="52"/>
    </row>
    <row r="1703" spans="16:40" x14ac:dyDescent="0.2"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  <c r="AD1703" s="52"/>
      <c r="AE1703" s="52"/>
      <c r="AF1703" s="52"/>
      <c r="AG1703" s="52"/>
      <c r="AH1703" s="52"/>
      <c r="AM1703" s="52"/>
      <c r="AN1703" s="52"/>
    </row>
    <row r="1704" spans="16:40" x14ac:dyDescent="0.2"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  <c r="AD1704" s="52"/>
      <c r="AE1704" s="52"/>
      <c r="AF1704" s="52"/>
      <c r="AG1704" s="52"/>
      <c r="AH1704" s="52"/>
      <c r="AM1704" s="52"/>
      <c r="AN1704" s="52"/>
    </row>
    <row r="1705" spans="16:40" x14ac:dyDescent="0.2"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  <c r="AD1705" s="52"/>
      <c r="AE1705" s="52"/>
      <c r="AF1705" s="52"/>
      <c r="AG1705" s="52"/>
      <c r="AH1705" s="52"/>
      <c r="AM1705" s="52"/>
      <c r="AN1705" s="52"/>
    </row>
    <row r="1706" spans="16:40" x14ac:dyDescent="0.2"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  <c r="AD1706" s="52"/>
      <c r="AE1706" s="52"/>
      <c r="AF1706" s="52"/>
      <c r="AG1706" s="52"/>
      <c r="AH1706" s="52"/>
      <c r="AM1706" s="52"/>
      <c r="AN1706" s="52"/>
    </row>
    <row r="1707" spans="16:40" x14ac:dyDescent="0.2"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  <c r="AD1707" s="52"/>
      <c r="AE1707" s="52"/>
      <c r="AF1707" s="52"/>
      <c r="AG1707" s="52"/>
      <c r="AH1707" s="52"/>
      <c r="AM1707" s="52"/>
      <c r="AN1707" s="52"/>
    </row>
    <row r="1708" spans="16:40" x14ac:dyDescent="0.2"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  <c r="AD1708" s="52"/>
      <c r="AE1708" s="52"/>
      <c r="AF1708" s="52"/>
      <c r="AG1708" s="52"/>
      <c r="AH1708" s="52"/>
      <c r="AM1708" s="52"/>
      <c r="AN1708" s="52"/>
    </row>
    <row r="1709" spans="16:40" x14ac:dyDescent="0.2"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  <c r="AD1709" s="52"/>
      <c r="AE1709" s="52"/>
      <c r="AF1709" s="52"/>
      <c r="AG1709" s="52"/>
      <c r="AH1709" s="52"/>
      <c r="AM1709" s="52"/>
      <c r="AN1709" s="52"/>
    </row>
    <row r="1710" spans="16:40" x14ac:dyDescent="0.2"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  <c r="AD1710" s="52"/>
      <c r="AE1710" s="52"/>
      <c r="AF1710" s="52"/>
      <c r="AG1710" s="52"/>
      <c r="AH1710" s="52"/>
      <c r="AM1710" s="52"/>
      <c r="AN1710" s="52"/>
    </row>
    <row r="1711" spans="16:40" x14ac:dyDescent="0.2"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  <c r="AD1711" s="52"/>
      <c r="AE1711" s="52"/>
      <c r="AF1711" s="52"/>
      <c r="AG1711" s="52"/>
      <c r="AH1711" s="52"/>
      <c r="AM1711" s="52"/>
      <c r="AN1711" s="52"/>
    </row>
    <row r="1712" spans="16:40" x14ac:dyDescent="0.2"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  <c r="AD1712" s="52"/>
      <c r="AE1712" s="52"/>
      <c r="AF1712" s="52"/>
      <c r="AG1712" s="52"/>
      <c r="AH1712" s="52"/>
      <c r="AM1712" s="52"/>
      <c r="AN1712" s="52"/>
    </row>
    <row r="1713" spans="16:40" x14ac:dyDescent="0.2"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  <c r="AD1713" s="52"/>
      <c r="AE1713" s="52"/>
      <c r="AF1713" s="52"/>
      <c r="AG1713" s="52"/>
      <c r="AH1713" s="52"/>
      <c r="AM1713" s="52"/>
      <c r="AN1713" s="52"/>
    </row>
    <row r="1714" spans="16:40" x14ac:dyDescent="0.2"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  <c r="AD1714" s="52"/>
      <c r="AE1714" s="52"/>
      <c r="AF1714" s="52"/>
      <c r="AG1714" s="52"/>
      <c r="AH1714" s="52"/>
      <c r="AM1714" s="52"/>
      <c r="AN1714" s="52"/>
    </row>
    <row r="1715" spans="16:40" x14ac:dyDescent="0.2"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  <c r="AD1715" s="52"/>
      <c r="AE1715" s="52"/>
      <c r="AF1715" s="52"/>
      <c r="AG1715" s="52"/>
      <c r="AH1715" s="52"/>
      <c r="AM1715" s="52"/>
      <c r="AN1715" s="52"/>
    </row>
    <row r="1716" spans="16:40" x14ac:dyDescent="0.2"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  <c r="AD1716" s="52"/>
      <c r="AE1716" s="52"/>
      <c r="AF1716" s="52"/>
      <c r="AG1716" s="52"/>
      <c r="AH1716" s="52"/>
      <c r="AM1716" s="52"/>
      <c r="AN1716" s="52"/>
    </row>
    <row r="1717" spans="16:40" x14ac:dyDescent="0.2"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  <c r="AD1717" s="52"/>
      <c r="AE1717" s="52"/>
      <c r="AF1717" s="52"/>
      <c r="AG1717" s="52"/>
      <c r="AH1717" s="52"/>
      <c r="AM1717" s="52"/>
      <c r="AN1717" s="52"/>
    </row>
    <row r="1718" spans="16:40" x14ac:dyDescent="0.2"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  <c r="AD1718" s="52"/>
      <c r="AE1718" s="52"/>
      <c r="AF1718" s="52"/>
      <c r="AG1718" s="52"/>
      <c r="AH1718" s="52"/>
      <c r="AM1718" s="52"/>
      <c r="AN1718" s="52"/>
    </row>
    <row r="1719" spans="16:40" x14ac:dyDescent="0.2"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  <c r="AD1719" s="52"/>
      <c r="AE1719" s="52"/>
      <c r="AF1719" s="52"/>
      <c r="AG1719" s="52"/>
      <c r="AH1719" s="52"/>
      <c r="AM1719" s="52"/>
      <c r="AN1719" s="52"/>
    </row>
    <row r="1720" spans="16:40" x14ac:dyDescent="0.2"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  <c r="AD1720" s="52"/>
      <c r="AE1720" s="52"/>
      <c r="AF1720" s="52"/>
      <c r="AG1720" s="52"/>
      <c r="AH1720" s="52"/>
      <c r="AM1720" s="52"/>
      <c r="AN1720" s="52"/>
    </row>
    <row r="1721" spans="16:40" x14ac:dyDescent="0.2"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  <c r="AD1721" s="52"/>
      <c r="AE1721" s="52"/>
      <c r="AF1721" s="52"/>
      <c r="AG1721" s="52"/>
      <c r="AH1721" s="52"/>
      <c r="AM1721" s="52"/>
      <c r="AN1721" s="52"/>
    </row>
    <row r="1722" spans="16:40" x14ac:dyDescent="0.2"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  <c r="AD1722" s="52"/>
      <c r="AE1722" s="52"/>
      <c r="AF1722" s="52"/>
      <c r="AG1722" s="52"/>
      <c r="AH1722" s="52"/>
      <c r="AM1722" s="52"/>
      <c r="AN1722" s="52"/>
    </row>
    <row r="1723" spans="16:40" x14ac:dyDescent="0.2"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  <c r="AD1723" s="52"/>
      <c r="AE1723" s="52"/>
      <c r="AF1723" s="52"/>
      <c r="AG1723" s="52"/>
      <c r="AH1723" s="52"/>
      <c r="AM1723" s="52"/>
      <c r="AN1723" s="52"/>
    </row>
    <row r="1724" spans="16:40" x14ac:dyDescent="0.2"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  <c r="AD1724" s="52"/>
      <c r="AE1724" s="52"/>
      <c r="AF1724" s="52"/>
      <c r="AG1724" s="52"/>
      <c r="AH1724" s="52"/>
      <c r="AM1724" s="52"/>
      <c r="AN1724" s="52"/>
    </row>
    <row r="1725" spans="16:40" x14ac:dyDescent="0.2"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  <c r="AD1725" s="52"/>
      <c r="AE1725" s="52"/>
      <c r="AF1725" s="52"/>
      <c r="AG1725" s="52"/>
      <c r="AH1725" s="52"/>
      <c r="AM1725" s="52"/>
      <c r="AN1725" s="52"/>
    </row>
    <row r="1726" spans="16:40" x14ac:dyDescent="0.2"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  <c r="AD1726" s="52"/>
      <c r="AE1726" s="52"/>
      <c r="AF1726" s="52"/>
      <c r="AG1726" s="52"/>
      <c r="AH1726" s="52"/>
      <c r="AM1726" s="52"/>
      <c r="AN1726" s="52"/>
    </row>
    <row r="1727" spans="16:40" x14ac:dyDescent="0.2"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  <c r="AD1727" s="52"/>
      <c r="AE1727" s="52"/>
      <c r="AF1727" s="52"/>
      <c r="AG1727" s="52"/>
      <c r="AH1727" s="52"/>
      <c r="AM1727" s="52"/>
      <c r="AN1727" s="52"/>
    </row>
    <row r="1728" spans="16:40" x14ac:dyDescent="0.2"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  <c r="AD1728" s="52"/>
      <c r="AE1728" s="52"/>
      <c r="AF1728" s="52"/>
      <c r="AG1728" s="52"/>
      <c r="AH1728" s="52"/>
      <c r="AM1728" s="52"/>
      <c r="AN1728" s="52"/>
    </row>
    <row r="1729" spans="16:40" x14ac:dyDescent="0.2"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  <c r="AD1729" s="52"/>
      <c r="AE1729" s="52"/>
      <c r="AF1729" s="52"/>
      <c r="AG1729" s="52"/>
      <c r="AH1729" s="52"/>
      <c r="AM1729" s="52"/>
      <c r="AN1729" s="52"/>
    </row>
    <row r="1730" spans="16:40" x14ac:dyDescent="0.2"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  <c r="AD1730" s="52"/>
      <c r="AE1730" s="52"/>
      <c r="AF1730" s="52"/>
      <c r="AG1730" s="52"/>
      <c r="AH1730" s="52"/>
      <c r="AM1730" s="52"/>
      <c r="AN1730" s="52"/>
    </row>
    <row r="1731" spans="16:40" x14ac:dyDescent="0.2"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  <c r="AD1731" s="52"/>
      <c r="AE1731" s="52"/>
      <c r="AF1731" s="52"/>
      <c r="AG1731" s="52"/>
      <c r="AH1731" s="52"/>
      <c r="AM1731" s="52"/>
      <c r="AN1731" s="52"/>
    </row>
    <row r="1732" spans="16:40" x14ac:dyDescent="0.2"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  <c r="AD1732" s="52"/>
      <c r="AE1732" s="52"/>
      <c r="AF1732" s="52"/>
      <c r="AG1732" s="52"/>
      <c r="AH1732" s="52"/>
      <c r="AM1732" s="52"/>
      <c r="AN1732" s="52"/>
    </row>
    <row r="1733" spans="16:40" x14ac:dyDescent="0.2"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  <c r="AD1733" s="52"/>
      <c r="AE1733" s="52"/>
      <c r="AF1733" s="52"/>
      <c r="AG1733" s="52"/>
      <c r="AH1733" s="52"/>
      <c r="AM1733" s="52"/>
      <c r="AN1733" s="52"/>
    </row>
    <row r="1734" spans="16:40" x14ac:dyDescent="0.2"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  <c r="AD1734" s="52"/>
      <c r="AE1734" s="52"/>
      <c r="AF1734" s="52"/>
      <c r="AG1734" s="52"/>
      <c r="AH1734" s="52"/>
      <c r="AM1734" s="52"/>
      <c r="AN1734" s="52"/>
    </row>
    <row r="1735" spans="16:40" x14ac:dyDescent="0.2"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  <c r="AD1735" s="52"/>
      <c r="AE1735" s="52"/>
      <c r="AF1735" s="52"/>
      <c r="AG1735" s="52"/>
      <c r="AH1735" s="52"/>
      <c r="AM1735" s="52"/>
      <c r="AN1735" s="52"/>
    </row>
    <row r="1736" spans="16:40" x14ac:dyDescent="0.2"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  <c r="AD1736" s="52"/>
      <c r="AE1736" s="52"/>
      <c r="AF1736" s="52"/>
      <c r="AG1736" s="52"/>
      <c r="AH1736" s="52"/>
      <c r="AM1736" s="52"/>
      <c r="AN1736" s="52"/>
    </row>
    <row r="1737" spans="16:40" x14ac:dyDescent="0.2"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  <c r="AD1737" s="52"/>
      <c r="AE1737" s="52"/>
      <c r="AF1737" s="52"/>
      <c r="AG1737" s="52"/>
      <c r="AH1737" s="52"/>
      <c r="AM1737" s="52"/>
      <c r="AN1737" s="52"/>
    </row>
    <row r="1738" spans="16:40" x14ac:dyDescent="0.2"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  <c r="AD1738" s="52"/>
      <c r="AE1738" s="52"/>
      <c r="AF1738" s="52"/>
      <c r="AG1738" s="52"/>
      <c r="AH1738" s="52"/>
      <c r="AM1738" s="52"/>
      <c r="AN1738" s="52"/>
    </row>
    <row r="1739" spans="16:40" x14ac:dyDescent="0.2"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2"/>
      <c r="AC1739" s="52"/>
      <c r="AD1739" s="52"/>
      <c r="AE1739" s="52"/>
      <c r="AF1739" s="52"/>
      <c r="AG1739" s="52"/>
      <c r="AH1739" s="52"/>
      <c r="AM1739" s="52"/>
      <c r="AN1739" s="52"/>
    </row>
    <row r="1740" spans="16:40" x14ac:dyDescent="0.2"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  <c r="AD1740" s="52"/>
      <c r="AE1740" s="52"/>
      <c r="AF1740" s="52"/>
      <c r="AG1740" s="52"/>
      <c r="AH1740" s="52"/>
      <c r="AM1740" s="52"/>
      <c r="AN1740" s="52"/>
    </row>
    <row r="1741" spans="16:40" x14ac:dyDescent="0.2"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  <c r="AD1741" s="52"/>
      <c r="AE1741" s="52"/>
      <c r="AF1741" s="52"/>
      <c r="AG1741" s="52"/>
      <c r="AH1741" s="52"/>
      <c r="AM1741" s="52"/>
      <c r="AN1741" s="52"/>
    </row>
    <row r="1742" spans="16:40" x14ac:dyDescent="0.2"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  <c r="AA1742" s="52"/>
      <c r="AB1742" s="52"/>
      <c r="AC1742" s="52"/>
      <c r="AD1742" s="52"/>
      <c r="AE1742" s="52"/>
      <c r="AF1742" s="52"/>
      <c r="AG1742" s="52"/>
      <c r="AH1742" s="52"/>
      <c r="AM1742" s="52"/>
      <c r="AN1742" s="52"/>
    </row>
    <row r="1743" spans="16:40" x14ac:dyDescent="0.2"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  <c r="AA1743" s="52"/>
      <c r="AB1743" s="52"/>
      <c r="AC1743" s="52"/>
      <c r="AD1743" s="52"/>
      <c r="AE1743" s="52"/>
      <c r="AF1743" s="52"/>
      <c r="AG1743" s="52"/>
      <c r="AH1743" s="52"/>
      <c r="AM1743" s="52"/>
      <c r="AN1743" s="52"/>
    </row>
    <row r="1744" spans="16:40" x14ac:dyDescent="0.2"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  <c r="AA1744" s="52"/>
      <c r="AB1744" s="52"/>
      <c r="AC1744" s="52"/>
      <c r="AD1744" s="52"/>
      <c r="AE1744" s="52"/>
      <c r="AF1744" s="52"/>
      <c r="AG1744" s="52"/>
      <c r="AH1744" s="52"/>
      <c r="AM1744" s="52"/>
      <c r="AN1744" s="52"/>
    </row>
    <row r="1745" spans="16:40" x14ac:dyDescent="0.2"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  <c r="AA1745" s="52"/>
      <c r="AB1745" s="52"/>
      <c r="AC1745" s="52"/>
      <c r="AD1745" s="52"/>
      <c r="AE1745" s="52"/>
      <c r="AF1745" s="52"/>
      <c r="AG1745" s="52"/>
      <c r="AH1745" s="52"/>
      <c r="AM1745" s="52"/>
      <c r="AN1745" s="52"/>
    </row>
    <row r="1746" spans="16:40" x14ac:dyDescent="0.2"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  <c r="AA1746" s="52"/>
      <c r="AB1746" s="52"/>
      <c r="AC1746" s="52"/>
      <c r="AD1746" s="52"/>
      <c r="AE1746" s="52"/>
      <c r="AF1746" s="52"/>
      <c r="AG1746" s="52"/>
      <c r="AH1746" s="52"/>
      <c r="AM1746" s="52"/>
      <c r="AN1746" s="52"/>
    </row>
    <row r="1747" spans="16:40" x14ac:dyDescent="0.2"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  <c r="AA1747" s="52"/>
      <c r="AB1747" s="52"/>
      <c r="AC1747" s="52"/>
      <c r="AD1747" s="52"/>
      <c r="AE1747" s="52"/>
      <c r="AF1747" s="52"/>
      <c r="AG1747" s="52"/>
      <c r="AH1747" s="52"/>
      <c r="AM1747" s="52"/>
      <c r="AN1747" s="52"/>
    </row>
    <row r="1748" spans="16:40" x14ac:dyDescent="0.2"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  <c r="AA1748" s="52"/>
      <c r="AB1748" s="52"/>
      <c r="AC1748" s="52"/>
      <c r="AD1748" s="52"/>
      <c r="AE1748" s="52"/>
      <c r="AF1748" s="52"/>
      <c r="AG1748" s="52"/>
      <c r="AH1748" s="52"/>
      <c r="AM1748" s="52"/>
      <c r="AN1748" s="52"/>
    </row>
    <row r="1749" spans="16:40" x14ac:dyDescent="0.2"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  <c r="AA1749" s="52"/>
      <c r="AB1749" s="52"/>
      <c r="AC1749" s="52"/>
      <c r="AD1749" s="52"/>
      <c r="AE1749" s="52"/>
      <c r="AF1749" s="52"/>
      <c r="AG1749" s="52"/>
      <c r="AH1749" s="52"/>
      <c r="AM1749" s="52"/>
      <c r="AN1749" s="52"/>
    </row>
    <row r="1750" spans="16:40" x14ac:dyDescent="0.2"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  <c r="AA1750" s="52"/>
      <c r="AB1750" s="52"/>
      <c r="AC1750" s="52"/>
      <c r="AD1750" s="52"/>
      <c r="AE1750" s="52"/>
      <c r="AF1750" s="52"/>
      <c r="AG1750" s="52"/>
      <c r="AH1750" s="52"/>
      <c r="AM1750" s="52"/>
      <c r="AN1750" s="52"/>
    </row>
    <row r="1751" spans="16:40" x14ac:dyDescent="0.2"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  <c r="AA1751" s="52"/>
      <c r="AB1751" s="52"/>
      <c r="AC1751" s="52"/>
      <c r="AD1751" s="52"/>
      <c r="AE1751" s="52"/>
      <c r="AF1751" s="52"/>
      <c r="AG1751" s="52"/>
      <c r="AH1751" s="52"/>
      <c r="AM1751" s="52"/>
      <c r="AN1751" s="52"/>
    </row>
    <row r="1752" spans="16:40" x14ac:dyDescent="0.2"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  <c r="AA1752" s="52"/>
      <c r="AB1752" s="52"/>
      <c r="AC1752" s="52"/>
      <c r="AD1752" s="52"/>
      <c r="AE1752" s="52"/>
      <c r="AF1752" s="52"/>
      <c r="AG1752" s="52"/>
      <c r="AH1752" s="52"/>
      <c r="AM1752" s="52"/>
      <c r="AN1752" s="52"/>
    </row>
    <row r="1753" spans="16:40" x14ac:dyDescent="0.2"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  <c r="AA1753" s="52"/>
      <c r="AB1753" s="52"/>
      <c r="AC1753" s="52"/>
      <c r="AD1753" s="52"/>
      <c r="AE1753" s="52"/>
      <c r="AF1753" s="52"/>
      <c r="AG1753" s="52"/>
      <c r="AH1753" s="52"/>
      <c r="AM1753" s="52"/>
      <c r="AN1753" s="52"/>
    </row>
    <row r="1754" spans="16:40" x14ac:dyDescent="0.2"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  <c r="AA1754" s="52"/>
      <c r="AB1754" s="52"/>
      <c r="AC1754" s="52"/>
      <c r="AD1754" s="52"/>
      <c r="AE1754" s="52"/>
      <c r="AF1754" s="52"/>
      <c r="AG1754" s="52"/>
      <c r="AH1754" s="52"/>
      <c r="AM1754" s="52"/>
      <c r="AN1754" s="52"/>
    </row>
    <row r="1755" spans="16:40" x14ac:dyDescent="0.2"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  <c r="AA1755" s="52"/>
      <c r="AB1755" s="52"/>
      <c r="AC1755" s="52"/>
      <c r="AD1755" s="52"/>
      <c r="AE1755" s="52"/>
      <c r="AF1755" s="52"/>
      <c r="AG1755" s="52"/>
      <c r="AH1755" s="52"/>
      <c r="AM1755" s="52"/>
      <c r="AN1755" s="52"/>
    </row>
    <row r="1756" spans="16:40" x14ac:dyDescent="0.2"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  <c r="AA1756" s="52"/>
      <c r="AB1756" s="52"/>
      <c r="AC1756" s="52"/>
      <c r="AD1756" s="52"/>
      <c r="AE1756" s="52"/>
      <c r="AF1756" s="52"/>
      <c r="AG1756" s="52"/>
      <c r="AH1756" s="52"/>
      <c r="AM1756" s="52"/>
      <c r="AN1756" s="52"/>
    </row>
    <row r="1757" spans="16:40" x14ac:dyDescent="0.2"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  <c r="AA1757" s="52"/>
      <c r="AB1757" s="52"/>
      <c r="AC1757" s="52"/>
      <c r="AD1757" s="52"/>
      <c r="AE1757" s="52"/>
      <c r="AF1757" s="52"/>
      <c r="AG1757" s="52"/>
      <c r="AH1757" s="52"/>
      <c r="AM1757" s="52"/>
      <c r="AN1757" s="52"/>
    </row>
    <row r="1758" spans="16:40" x14ac:dyDescent="0.2"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  <c r="AA1758" s="52"/>
      <c r="AB1758" s="52"/>
      <c r="AC1758" s="52"/>
      <c r="AD1758" s="52"/>
      <c r="AE1758" s="52"/>
      <c r="AF1758" s="52"/>
      <c r="AG1758" s="52"/>
      <c r="AH1758" s="52"/>
      <c r="AM1758" s="52"/>
      <c r="AN1758" s="52"/>
    </row>
    <row r="1759" spans="16:40" x14ac:dyDescent="0.2"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  <c r="AA1759" s="52"/>
      <c r="AB1759" s="52"/>
      <c r="AC1759" s="52"/>
      <c r="AD1759" s="52"/>
      <c r="AE1759" s="52"/>
      <c r="AF1759" s="52"/>
      <c r="AG1759" s="52"/>
      <c r="AH1759" s="52"/>
      <c r="AM1759" s="52"/>
      <c r="AN1759" s="52"/>
    </row>
    <row r="1760" spans="16:40" x14ac:dyDescent="0.2"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  <c r="AA1760" s="52"/>
      <c r="AB1760" s="52"/>
      <c r="AC1760" s="52"/>
      <c r="AD1760" s="52"/>
      <c r="AE1760" s="52"/>
      <c r="AF1760" s="52"/>
      <c r="AG1760" s="52"/>
      <c r="AH1760" s="52"/>
      <c r="AM1760" s="52"/>
      <c r="AN1760" s="52"/>
    </row>
    <row r="1761" spans="16:40" x14ac:dyDescent="0.2"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  <c r="AA1761" s="52"/>
      <c r="AB1761" s="52"/>
      <c r="AC1761" s="52"/>
      <c r="AD1761" s="52"/>
      <c r="AE1761" s="52"/>
      <c r="AF1761" s="52"/>
      <c r="AG1761" s="52"/>
      <c r="AH1761" s="52"/>
      <c r="AM1761" s="52"/>
      <c r="AN1761" s="52"/>
    </row>
    <row r="1762" spans="16:40" x14ac:dyDescent="0.2"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  <c r="AA1762" s="52"/>
      <c r="AB1762" s="52"/>
      <c r="AC1762" s="52"/>
      <c r="AD1762" s="52"/>
      <c r="AE1762" s="52"/>
      <c r="AF1762" s="52"/>
      <c r="AG1762" s="52"/>
      <c r="AH1762" s="52"/>
      <c r="AM1762" s="52"/>
      <c r="AN1762" s="52"/>
    </row>
    <row r="1763" spans="16:40" x14ac:dyDescent="0.2"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  <c r="AA1763" s="52"/>
      <c r="AB1763" s="52"/>
      <c r="AC1763" s="52"/>
      <c r="AD1763" s="52"/>
      <c r="AE1763" s="52"/>
      <c r="AF1763" s="52"/>
      <c r="AG1763" s="52"/>
      <c r="AH1763" s="52"/>
      <c r="AM1763" s="52"/>
      <c r="AN1763" s="52"/>
    </row>
    <row r="1764" spans="16:40" x14ac:dyDescent="0.2"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  <c r="AA1764" s="52"/>
      <c r="AB1764" s="52"/>
      <c r="AC1764" s="52"/>
      <c r="AD1764" s="52"/>
      <c r="AE1764" s="52"/>
      <c r="AF1764" s="52"/>
      <c r="AG1764" s="52"/>
      <c r="AH1764" s="52"/>
      <c r="AM1764" s="52"/>
      <c r="AN1764" s="52"/>
    </row>
    <row r="1765" spans="16:40" x14ac:dyDescent="0.2"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  <c r="AA1765" s="52"/>
      <c r="AB1765" s="52"/>
      <c r="AC1765" s="52"/>
      <c r="AD1765" s="52"/>
      <c r="AE1765" s="52"/>
      <c r="AF1765" s="52"/>
      <c r="AG1765" s="52"/>
      <c r="AH1765" s="52"/>
      <c r="AM1765" s="52"/>
      <c r="AN1765" s="52"/>
    </row>
    <row r="1766" spans="16:40" x14ac:dyDescent="0.2"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  <c r="AA1766" s="52"/>
      <c r="AB1766" s="52"/>
      <c r="AC1766" s="52"/>
      <c r="AD1766" s="52"/>
      <c r="AE1766" s="52"/>
      <c r="AF1766" s="52"/>
      <c r="AG1766" s="52"/>
      <c r="AH1766" s="52"/>
      <c r="AM1766" s="52"/>
      <c r="AN1766" s="52"/>
    </row>
    <row r="1767" spans="16:40" x14ac:dyDescent="0.2"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  <c r="AA1767" s="52"/>
      <c r="AB1767" s="52"/>
      <c r="AC1767" s="52"/>
      <c r="AD1767" s="52"/>
      <c r="AE1767" s="52"/>
      <c r="AF1767" s="52"/>
      <c r="AG1767" s="52"/>
      <c r="AH1767" s="52"/>
      <c r="AM1767" s="52"/>
      <c r="AN1767" s="52"/>
    </row>
    <row r="1768" spans="16:40" x14ac:dyDescent="0.2"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  <c r="AA1768" s="52"/>
      <c r="AB1768" s="52"/>
      <c r="AC1768" s="52"/>
      <c r="AD1768" s="52"/>
      <c r="AE1768" s="52"/>
      <c r="AF1768" s="52"/>
      <c r="AG1768" s="52"/>
      <c r="AH1768" s="52"/>
      <c r="AM1768" s="52"/>
      <c r="AN1768" s="52"/>
    </row>
    <row r="1769" spans="16:40" x14ac:dyDescent="0.2"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  <c r="AA1769" s="52"/>
      <c r="AB1769" s="52"/>
      <c r="AC1769" s="52"/>
      <c r="AD1769" s="52"/>
      <c r="AE1769" s="52"/>
      <c r="AF1769" s="52"/>
      <c r="AG1769" s="52"/>
      <c r="AH1769" s="52"/>
      <c r="AM1769" s="52"/>
      <c r="AN1769" s="52"/>
    </row>
    <row r="1770" spans="16:40" x14ac:dyDescent="0.2"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  <c r="AA1770" s="52"/>
      <c r="AB1770" s="52"/>
      <c r="AC1770" s="52"/>
      <c r="AD1770" s="52"/>
      <c r="AE1770" s="52"/>
      <c r="AF1770" s="52"/>
      <c r="AG1770" s="52"/>
      <c r="AH1770" s="52"/>
      <c r="AM1770" s="52"/>
      <c r="AN1770" s="52"/>
    </row>
    <row r="1771" spans="16:40" x14ac:dyDescent="0.2"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  <c r="AA1771" s="52"/>
      <c r="AB1771" s="52"/>
      <c r="AC1771" s="52"/>
      <c r="AD1771" s="52"/>
      <c r="AE1771" s="52"/>
      <c r="AF1771" s="52"/>
      <c r="AG1771" s="52"/>
      <c r="AH1771" s="52"/>
      <c r="AM1771" s="52"/>
      <c r="AN1771" s="52"/>
    </row>
    <row r="1772" spans="16:40" x14ac:dyDescent="0.2"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  <c r="AA1772" s="52"/>
      <c r="AB1772" s="52"/>
      <c r="AC1772" s="52"/>
      <c r="AD1772" s="52"/>
      <c r="AE1772" s="52"/>
      <c r="AF1772" s="52"/>
      <c r="AG1772" s="52"/>
      <c r="AH1772" s="52"/>
      <c r="AM1772" s="52"/>
      <c r="AN1772" s="52"/>
    </row>
    <row r="1773" spans="16:40" x14ac:dyDescent="0.2"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  <c r="AA1773" s="52"/>
      <c r="AB1773" s="52"/>
      <c r="AC1773" s="52"/>
      <c r="AD1773" s="52"/>
      <c r="AE1773" s="52"/>
      <c r="AF1773" s="52"/>
      <c r="AG1773" s="52"/>
      <c r="AH1773" s="52"/>
      <c r="AM1773" s="52"/>
      <c r="AN1773" s="52"/>
    </row>
    <row r="1774" spans="16:40" x14ac:dyDescent="0.2"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  <c r="AA1774" s="52"/>
      <c r="AB1774" s="52"/>
      <c r="AC1774" s="52"/>
      <c r="AD1774" s="52"/>
      <c r="AE1774" s="52"/>
      <c r="AF1774" s="52"/>
      <c r="AG1774" s="52"/>
      <c r="AH1774" s="52"/>
      <c r="AM1774" s="52"/>
      <c r="AN1774" s="52"/>
    </row>
    <row r="1775" spans="16:40" x14ac:dyDescent="0.2"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  <c r="AA1775" s="52"/>
      <c r="AB1775" s="52"/>
      <c r="AC1775" s="52"/>
      <c r="AD1775" s="52"/>
      <c r="AE1775" s="52"/>
      <c r="AF1775" s="52"/>
      <c r="AG1775" s="52"/>
      <c r="AH1775" s="52"/>
      <c r="AM1775" s="52"/>
      <c r="AN1775" s="52"/>
    </row>
    <row r="1776" spans="16:40" x14ac:dyDescent="0.2"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  <c r="AA1776" s="52"/>
      <c r="AB1776" s="52"/>
      <c r="AC1776" s="52"/>
      <c r="AD1776" s="52"/>
      <c r="AE1776" s="52"/>
      <c r="AF1776" s="52"/>
      <c r="AG1776" s="52"/>
      <c r="AH1776" s="52"/>
      <c r="AM1776" s="52"/>
      <c r="AN1776" s="52"/>
    </row>
    <row r="1777" spans="16:40" x14ac:dyDescent="0.2"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  <c r="AA1777" s="52"/>
      <c r="AB1777" s="52"/>
      <c r="AC1777" s="52"/>
      <c r="AD1777" s="52"/>
      <c r="AE1777" s="52"/>
      <c r="AF1777" s="52"/>
      <c r="AG1777" s="52"/>
      <c r="AH1777" s="52"/>
      <c r="AM1777" s="52"/>
      <c r="AN1777" s="52"/>
    </row>
    <row r="1778" spans="16:40" x14ac:dyDescent="0.2"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  <c r="AA1778" s="52"/>
      <c r="AB1778" s="52"/>
      <c r="AC1778" s="52"/>
      <c r="AD1778" s="52"/>
      <c r="AE1778" s="52"/>
      <c r="AF1778" s="52"/>
      <c r="AG1778" s="52"/>
      <c r="AH1778" s="52"/>
      <c r="AM1778" s="52"/>
      <c r="AN1778" s="52"/>
    </row>
    <row r="1779" spans="16:40" x14ac:dyDescent="0.2"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  <c r="AA1779" s="52"/>
      <c r="AB1779" s="52"/>
      <c r="AC1779" s="52"/>
      <c r="AD1779" s="52"/>
      <c r="AE1779" s="52"/>
      <c r="AF1779" s="52"/>
      <c r="AG1779" s="52"/>
      <c r="AH1779" s="52"/>
      <c r="AM1779" s="52"/>
      <c r="AN1779" s="52"/>
    </row>
    <row r="1780" spans="16:40" x14ac:dyDescent="0.2"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  <c r="AD1780" s="52"/>
      <c r="AE1780" s="52"/>
      <c r="AF1780" s="52"/>
      <c r="AG1780" s="52"/>
      <c r="AH1780" s="52"/>
      <c r="AM1780" s="52"/>
      <c r="AN1780" s="52"/>
    </row>
    <row r="1781" spans="16:40" x14ac:dyDescent="0.2"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2"/>
      <c r="AH1781" s="52"/>
      <c r="AM1781" s="52"/>
      <c r="AN1781" s="52"/>
    </row>
    <row r="1782" spans="16:40" x14ac:dyDescent="0.2"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  <c r="AA1782" s="52"/>
      <c r="AB1782" s="52"/>
      <c r="AC1782" s="52"/>
      <c r="AD1782" s="52"/>
      <c r="AE1782" s="52"/>
      <c r="AF1782" s="52"/>
      <c r="AG1782" s="52"/>
      <c r="AH1782" s="52"/>
      <c r="AM1782" s="52"/>
      <c r="AN1782" s="52"/>
    </row>
    <row r="1783" spans="16:40" x14ac:dyDescent="0.2"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  <c r="AA1783" s="52"/>
      <c r="AB1783" s="52"/>
      <c r="AC1783" s="52"/>
      <c r="AD1783" s="52"/>
      <c r="AE1783" s="52"/>
      <c r="AF1783" s="52"/>
      <c r="AG1783" s="52"/>
      <c r="AH1783" s="52"/>
      <c r="AM1783" s="52"/>
      <c r="AN1783" s="52"/>
    </row>
    <row r="1784" spans="16:40" x14ac:dyDescent="0.2"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  <c r="AA1784" s="52"/>
      <c r="AB1784" s="52"/>
      <c r="AC1784" s="52"/>
      <c r="AD1784" s="52"/>
      <c r="AE1784" s="52"/>
      <c r="AF1784" s="52"/>
      <c r="AG1784" s="52"/>
      <c r="AH1784" s="52"/>
      <c r="AM1784" s="52"/>
      <c r="AN1784" s="52"/>
    </row>
    <row r="1785" spans="16:40" x14ac:dyDescent="0.2"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  <c r="AA1785" s="52"/>
      <c r="AB1785" s="52"/>
      <c r="AC1785" s="52"/>
      <c r="AD1785" s="52"/>
      <c r="AE1785" s="52"/>
      <c r="AF1785" s="52"/>
      <c r="AG1785" s="52"/>
      <c r="AH1785" s="52"/>
      <c r="AM1785" s="52"/>
      <c r="AN1785" s="52"/>
    </row>
    <row r="1786" spans="16:40" x14ac:dyDescent="0.2"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  <c r="AA1786" s="52"/>
      <c r="AB1786" s="52"/>
      <c r="AC1786" s="52"/>
      <c r="AD1786" s="52"/>
      <c r="AE1786" s="52"/>
      <c r="AF1786" s="52"/>
      <c r="AG1786" s="52"/>
      <c r="AH1786" s="52"/>
      <c r="AM1786" s="52"/>
      <c r="AN1786" s="52"/>
    </row>
    <row r="1787" spans="16:40" x14ac:dyDescent="0.2"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  <c r="AA1787" s="52"/>
      <c r="AB1787" s="52"/>
      <c r="AC1787" s="52"/>
      <c r="AD1787" s="52"/>
      <c r="AE1787" s="52"/>
      <c r="AF1787" s="52"/>
      <c r="AG1787" s="52"/>
      <c r="AH1787" s="52"/>
      <c r="AM1787" s="52"/>
      <c r="AN1787" s="52"/>
    </row>
    <row r="1788" spans="16:40" x14ac:dyDescent="0.2"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  <c r="AA1788" s="52"/>
      <c r="AB1788" s="52"/>
      <c r="AC1788" s="52"/>
      <c r="AD1788" s="52"/>
      <c r="AE1788" s="52"/>
      <c r="AF1788" s="52"/>
      <c r="AG1788" s="52"/>
      <c r="AH1788" s="52"/>
      <c r="AM1788" s="52"/>
      <c r="AN1788" s="52"/>
    </row>
    <row r="1789" spans="16:40" x14ac:dyDescent="0.2"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  <c r="AA1789" s="52"/>
      <c r="AB1789" s="52"/>
      <c r="AC1789" s="52"/>
      <c r="AD1789" s="52"/>
      <c r="AE1789" s="52"/>
      <c r="AF1789" s="52"/>
      <c r="AG1789" s="52"/>
      <c r="AH1789" s="52"/>
      <c r="AM1789" s="52"/>
      <c r="AN1789" s="52"/>
    </row>
    <row r="1790" spans="16:40" x14ac:dyDescent="0.2"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  <c r="AA1790" s="52"/>
      <c r="AB1790" s="52"/>
      <c r="AC1790" s="52"/>
      <c r="AD1790" s="52"/>
      <c r="AE1790" s="52"/>
      <c r="AF1790" s="52"/>
      <c r="AG1790" s="52"/>
      <c r="AH1790" s="52"/>
      <c r="AM1790" s="52"/>
      <c r="AN1790" s="52"/>
    </row>
    <row r="1791" spans="16:40" x14ac:dyDescent="0.2"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  <c r="AA1791" s="52"/>
      <c r="AB1791" s="52"/>
      <c r="AC1791" s="52"/>
      <c r="AD1791" s="52"/>
      <c r="AE1791" s="52"/>
      <c r="AF1791" s="52"/>
      <c r="AG1791" s="52"/>
      <c r="AH1791" s="52"/>
      <c r="AM1791" s="52"/>
      <c r="AN1791" s="52"/>
    </row>
    <row r="1792" spans="16:40" x14ac:dyDescent="0.2"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  <c r="AA1792" s="52"/>
      <c r="AB1792" s="52"/>
      <c r="AC1792" s="52"/>
      <c r="AD1792" s="52"/>
      <c r="AE1792" s="52"/>
      <c r="AF1792" s="52"/>
      <c r="AG1792" s="52"/>
      <c r="AH1792" s="52"/>
      <c r="AM1792" s="52"/>
      <c r="AN1792" s="52"/>
    </row>
    <row r="1793" spans="16:40" x14ac:dyDescent="0.2"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  <c r="AA1793" s="52"/>
      <c r="AB1793" s="52"/>
      <c r="AC1793" s="52"/>
      <c r="AD1793" s="52"/>
      <c r="AE1793" s="52"/>
      <c r="AF1793" s="52"/>
      <c r="AG1793" s="52"/>
      <c r="AH1793" s="52"/>
      <c r="AM1793" s="52"/>
      <c r="AN1793" s="52"/>
    </row>
    <row r="1794" spans="16:40" x14ac:dyDescent="0.2"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  <c r="AA1794" s="52"/>
      <c r="AB1794" s="52"/>
      <c r="AC1794" s="52"/>
      <c r="AD1794" s="52"/>
      <c r="AE1794" s="52"/>
      <c r="AF1794" s="52"/>
      <c r="AG1794" s="52"/>
      <c r="AH1794" s="52"/>
      <c r="AM1794" s="52"/>
      <c r="AN1794" s="52"/>
    </row>
    <row r="1795" spans="16:40" x14ac:dyDescent="0.2"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  <c r="AA1795" s="52"/>
      <c r="AB1795" s="52"/>
      <c r="AC1795" s="52"/>
      <c r="AD1795" s="52"/>
      <c r="AE1795" s="52"/>
      <c r="AF1795" s="52"/>
      <c r="AG1795" s="52"/>
      <c r="AH1795" s="52"/>
      <c r="AM1795" s="52"/>
      <c r="AN1795" s="52"/>
    </row>
    <row r="1796" spans="16:40" x14ac:dyDescent="0.2"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  <c r="AA1796" s="52"/>
      <c r="AB1796" s="52"/>
      <c r="AC1796" s="52"/>
      <c r="AD1796" s="52"/>
      <c r="AE1796" s="52"/>
      <c r="AF1796" s="52"/>
      <c r="AG1796" s="52"/>
      <c r="AH1796" s="52"/>
      <c r="AM1796" s="52"/>
      <c r="AN1796" s="52"/>
    </row>
    <row r="1797" spans="16:40" x14ac:dyDescent="0.2"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  <c r="AA1797" s="52"/>
      <c r="AB1797" s="52"/>
      <c r="AC1797" s="52"/>
      <c r="AD1797" s="52"/>
      <c r="AE1797" s="52"/>
      <c r="AF1797" s="52"/>
      <c r="AG1797" s="52"/>
      <c r="AH1797" s="52"/>
      <c r="AM1797" s="52"/>
      <c r="AN1797" s="52"/>
    </row>
    <row r="1798" spans="16:40" x14ac:dyDescent="0.2"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  <c r="AA1798" s="52"/>
      <c r="AB1798" s="52"/>
      <c r="AC1798" s="52"/>
      <c r="AD1798" s="52"/>
      <c r="AE1798" s="52"/>
      <c r="AF1798" s="52"/>
      <c r="AG1798" s="52"/>
      <c r="AH1798" s="52"/>
      <c r="AM1798" s="52"/>
      <c r="AN1798" s="52"/>
    </row>
    <row r="1799" spans="16:40" x14ac:dyDescent="0.2"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  <c r="AA1799" s="52"/>
      <c r="AB1799" s="52"/>
      <c r="AC1799" s="52"/>
      <c r="AD1799" s="52"/>
      <c r="AE1799" s="52"/>
      <c r="AF1799" s="52"/>
      <c r="AG1799" s="52"/>
      <c r="AH1799" s="52"/>
      <c r="AM1799" s="52"/>
      <c r="AN1799" s="52"/>
    </row>
    <row r="1800" spans="16:40" x14ac:dyDescent="0.2"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  <c r="AA1800" s="52"/>
      <c r="AB1800" s="52"/>
      <c r="AC1800" s="52"/>
      <c r="AD1800" s="52"/>
      <c r="AE1800" s="52"/>
      <c r="AF1800" s="52"/>
      <c r="AG1800" s="52"/>
      <c r="AH1800" s="52"/>
      <c r="AM1800" s="52"/>
      <c r="AN1800" s="52"/>
    </row>
    <row r="1801" spans="16:40" x14ac:dyDescent="0.2"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  <c r="AD1801" s="52"/>
      <c r="AE1801" s="52"/>
      <c r="AF1801" s="52"/>
      <c r="AG1801" s="52"/>
      <c r="AH1801" s="52"/>
      <c r="AM1801" s="52"/>
      <c r="AN1801" s="52"/>
    </row>
    <row r="1802" spans="16:40" x14ac:dyDescent="0.2"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  <c r="AD1802" s="52"/>
      <c r="AE1802" s="52"/>
      <c r="AF1802" s="52"/>
      <c r="AG1802" s="52"/>
      <c r="AH1802" s="52"/>
      <c r="AM1802" s="52"/>
      <c r="AN1802" s="52"/>
    </row>
    <row r="1803" spans="16:40" x14ac:dyDescent="0.2"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  <c r="AD1803" s="52"/>
      <c r="AE1803" s="52"/>
      <c r="AF1803" s="52"/>
      <c r="AG1803" s="52"/>
      <c r="AH1803" s="52"/>
      <c r="AM1803" s="52"/>
      <c r="AN1803" s="52"/>
    </row>
    <row r="1804" spans="16:40" x14ac:dyDescent="0.2"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  <c r="AA1804" s="52"/>
      <c r="AB1804" s="52"/>
      <c r="AC1804" s="52"/>
      <c r="AD1804" s="52"/>
      <c r="AE1804" s="52"/>
      <c r="AF1804" s="52"/>
      <c r="AG1804" s="52"/>
      <c r="AH1804" s="52"/>
      <c r="AM1804" s="52"/>
      <c r="AN1804" s="52"/>
    </row>
    <row r="1805" spans="16:40" x14ac:dyDescent="0.2"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  <c r="AA1805" s="52"/>
      <c r="AB1805" s="52"/>
      <c r="AC1805" s="52"/>
      <c r="AD1805" s="52"/>
      <c r="AE1805" s="52"/>
      <c r="AF1805" s="52"/>
      <c r="AG1805" s="52"/>
      <c r="AH1805" s="52"/>
      <c r="AM1805" s="52"/>
      <c r="AN1805" s="52"/>
    </row>
    <row r="1806" spans="16:40" x14ac:dyDescent="0.2"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  <c r="AA1806" s="52"/>
      <c r="AB1806" s="52"/>
      <c r="AC1806" s="52"/>
      <c r="AD1806" s="52"/>
      <c r="AE1806" s="52"/>
      <c r="AF1806" s="52"/>
      <c r="AG1806" s="52"/>
      <c r="AH1806" s="52"/>
      <c r="AM1806" s="52"/>
      <c r="AN1806" s="52"/>
    </row>
    <row r="1807" spans="16:40" x14ac:dyDescent="0.2"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  <c r="AA1807" s="52"/>
      <c r="AB1807" s="52"/>
      <c r="AC1807" s="52"/>
      <c r="AD1807" s="52"/>
      <c r="AE1807" s="52"/>
      <c r="AF1807" s="52"/>
      <c r="AG1807" s="52"/>
      <c r="AH1807" s="52"/>
      <c r="AM1807" s="52"/>
      <c r="AN1807" s="52"/>
    </row>
    <row r="1808" spans="16:40" x14ac:dyDescent="0.2"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  <c r="AA1808" s="52"/>
      <c r="AB1808" s="52"/>
      <c r="AC1808" s="52"/>
      <c r="AD1808" s="52"/>
      <c r="AE1808" s="52"/>
      <c r="AF1808" s="52"/>
      <c r="AG1808" s="52"/>
      <c r="AH1808" s="52"/>
      <c r="AM1808" s="52"/>
      <c r="AN1808" s="52"/>
    </row>
    <row r="1809" spans="16:40" x14ac:dyDescent="0.2"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  <c r="AA1809" s="52"/>
      <c r="AB1809" s="52"/>
      <c r="AC1809" s="52"/>
      <c r="AD1809" s="52"/>
      <c r="AE1809" s="52"/>
      <c r="AF1809" s="52"/>
      <c r="AG1809" s="52"/>
      <c r="AH1809" s="52"/>
      <c r="AM1809" s="52"/>
      <c r="AN1809" s="52"/>
    </row>
    <row r="1810" spans="16:40" x14ac:dyDescent="0.2"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  <c r="AA1810" s="52"/>
      <c r="AB1810" s="52"/>
      <c r="AC1810" s="52"/>
      <c r="AD1810" s="52"/>
      <c r="AE1810" s="52"/>
      <c r="AF1810" s="52"/>
      <c r="AG1810" s="52"/>
      <c r="AH1810" s="52"/>
      <c r="AM1810" s="52"/>
      <c r="AN1810" s="52"/>
    </row>
    <row r="1811" spans="16:40" x14ac:dyDescent="0.2"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  <c r="AA1811" s="52"/>
      <c r="AB1811" s="52"/>
      <c r="AC1811" s="52"/>
      <c r="AD1811" s="52"/>
      <c r="AE1811" s="52"/>
      <c r="AF1811" s="52"/>
      <c r="AG1811" s="52"/>
      <c r="AH1811" s="52"/>
      <c r="AM1811" s="52"/>
      <c r="AN1811" s="52"/>
    </row>
    <row r="1812" spans="16:40" x14ac:dyDescent="0.2"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  <c r="AA1812" s="52"/>
      <c r="AB1812" s="52"/>
      <c r="AC1812" s="52"/>
      <c r="AD1812" s="52"/>
      <c r="AE1812" s="52"/>
      <c r="AF1812" s="52"/>
      <c r="AG1812" s="52"/>
      <c r="AH1812" s="52"/>
      <c r="AM1812" s="52"/>
      <c r="AN1812" s="52"/>
    </row>
    <row r="1813" spans="16:40" x14ac:dyDescent="0.2"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  <c r="AA1813" s="52"/>
      <c r="AB1813" s="52"/>
      <c r="AC1813" s="52"/>
      <c r="AD1813" s="52"/>
      <c r="AE1813" s="52"/>
      <c r="AF1813" s="52"/>
      <c r="AG1813" s="52"/>
      <c r="AH1813" s="52"/>
      <c r="AM1813" s="52"/>
      <c r="AN1813" s="52"/>
    </row>
    <row r="1814" spans="16:40" x14ac:dyDescent="0.2"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  <c r="AA1814" s="52"/>
      <c r="AB1814" s="52"/>
      <c r="AC1814" s="52"/>
      <c r="AD1814" s="52"/>
      <c r="AE1814" s="52"/>
      <c r="AF1814" s="52"/>
      <c r="AG1814" s="52"/>
      <c r="AH1814" s="52"/>
      <c r="AM1814" s="52"/>
      <c r="AN1814" s="52"/>
    </row>
    <row r="1815" spans="16:40" x14ac:dyDescent="0.2"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  <c r="AD1815" s="52"/>
      <c r="AE1815" s="52"/>
      <c r="AF1815" s="52"/>
      <c r="AG1815" s="52"/>
      <c r="AH1815" s="52"/>
      <c r="AM1815" s="52"/>
      <c r="AN1815" s="52"/>
    </row>
    <row r="1816" spans="16:40" x14ac:dyDescent="0.2"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  <c r="AA1816" s="52"/>
      <c r="AB1816" s="52"/>
      <c r="AC1816" s="52"/>
      <c r="AD1816" s="52"/>
      <c r="AE1816" s="52"/>
      <c r="AF1816" s="52"/>
      <c r="AG1816" s="52"/>
      <c r="AH1816" s="52"/>
      <c r="AM1816" s="52"/>
      <c r="AN1816" s="52"/>
    </row>
    <row r="1817" spans="16:40" x14ac:dyDescent="0.2"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  <c r="AA1817" s="52"/>
      <c r="AB1817" s="52"/>
      <c r="AC1817" s="52"/>
      <c r="AD1817" s="52"/>
      <c r="AE1817" s="52"/>
      <c r="AF1817" s="52"/>
      <c r="AG1817" s="52"/>
      <c r="AH1817" s="52"/>
      <c r="AM1817" s="52"/>
      <c r="AN1817" s="52"/>
    </row>
    <row r="1818" spans="16:40" x14ac:dyDescent="0.2"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  <c r="AA1818" s="52"/>
      <c r="AB1818" s="52"/>
      <c r="AC1818" s="52"/>
      <c r="AD1818" s="52"/>
      <c r="AE1818" s="52"/>
      <c r="AF1818" s="52"/>
      <c r="AG1818" s="52"/>
      <c r="AH1818" s="52"/>
      <c r="AM1818" s="52"/>
      <c r="AN1818" s="52"/>
    </row>
    <row r="1819" spans="16:40" x14ac:dyDescent="0.2"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  <c r="AA1819" s="52"/>
      <c r="AB1819" s="52"/>
      <c r="AC1819" s="52"/>
      <c r="AD1819" s="52"/>
      <c r="AE1819" s="52"/>
      <c r="AF1819" s="52"/>
      <c r="AG1819" s="52"/>
      <c r="AH1819" s="52"/>
      <c r="AM1819" s="52"/>
      <c r="AN1819" s="52"/>
    </row>
    <row r="1820" spans="16:40" x14ac:dyDescent="0.2"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  <c r="AA1820" s="52"/>
      <c r="AB1820" s="52"/>
      <c r="AC1820" s="52"/>
      <c r="AD1820" s="52"/>
      <c r="AE1820" s="52"/>
      <c r="AF1820" s="52"/>
      <c r="AG1820" s="52"/>
      <c r="AH1820" s="52"/>
      <c r="AM1820" s="52"/>
      <c r="AN1820" s="52"/>
    </row>
    <row r="1821" spans="16:40" x14ac:dyDescent="0.2"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  <c r="AA1821" s="52"/>
      <c r="AB1821" s="52"/>
      <c r="AC1821" s="52"/>
      <c r="AD1821" s="52"/>
      <c r="AE1821" s="52"/>
      <c r="AF1821" s="52"/>
      <c r="AG1821" s="52"/>
      <c r="AH1821" s="52"/>
      <c r="AM1821" s="52"/>
      <c r="AN1821" s="52"/>
    </row>
    <row r="1822" spans="16:40" x14ac:dyDescent="0.2"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  <c r="AA1822" s="52"/>
      <c r="AB1822" s="52"/>
      <c r="AC1822" s="52"/>
      <c r="AD1822" s="52"/>
      <c r="AE1822" s="52"/>
      <c r="AF1822" s="52"/>
      <c r="AG1822" s="52"/>
      <c r="AH1822" s="52"/>
      <c r="AM1822" s="52"/>
      <c r="AN1822" s="52"/>
    </row>
    <row r="1823" spans="16:40" x14ac:dyDescent="0.2"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  <c r="AA1823" s="52"/>
      <c r="AB1823" s="52"/>
      <c r="AC1823" s="52"/>
      <c r="AD1823" s="52"/>
      <c r="AE1823" s="52"/>
      <c r="AF1823" s="52"/>
      <c r="AG1823" s="52"/>
      <c r="AH1823" s="52"/>
      <c r="AM1823" s="52"/>
      <c r="AN1823" s="52"/>
    </row>
    <row r="1824" spans="16:40" x14ac:dyDescent="0.2"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  <c r="AA1824" s="52"/>
      <c r="AB1824" s="52"/>
      <c r="AC1824" s="52"/>
      <c r="AD1824" s="52"/>
      <c r="AE1824" s="52"/>
      <c r="AF1824" s="52"/>
      <c r="AG1824" s="52"/>
      <c r="AH1824" s="52"/>
      <c r="AM1824" s="52"/>
      <c r="AN1824" s="52"/>
    </row>
    <row r="1825" spans="16:40" x14ac:dyDescent="0.2"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  <c r="AA1825" s="52"/>
      <c r="AB1825" s="52"/>
      <c r="AC1825" s="52"/>
      <c r="AD1825" s="52"/>
      <c r="AE1825" s="52"/>
      <c r="AF1825" s="52"/>
      <c r="AG1825" s="52"/>
      <c r="AH1825" s="52"/>
      <c r="AM1825" s="52"/>
      <c r="AN1825" s="52"/>
    </row>
    <row r="1826" spans="16:40" x14ac:dyDescent="0.2"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  <c r="AA1826" s="52"/>
      <c r="AB1826" s="52"/>
      <c r="AC1826" s="52"/>
      <c r="AD1826" s="52"/>
      <c r="AE1826" s="52"/>
      <c r="AF1826" s="52"/>
      <c r="AG1826" s="52"/>
      <c r="AH1826" s="52"/>
      <c r="AM1826" s="52"/>
      <c r="AN1826" s="52"/>
    </row>
    <row r="1827" spans="16:40" x14ac:dyDescent="0.2"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  <c r="AA1827" s="52"/>
      <c r="AB1827" s="52"/>
      <c r="AC1827" s="52"/>
      <c r="AD1827" s="52"/>
      <c r="AE1827" s="52"/>
      <c r="AF1827" s="52"/>
      <c r="AG1827" s="52"/>
      <c r="AH1827" s="52"/>
      <c r="AM1827" s="52"/>
      <c r="AN1827" s="52"/>
    </row>
    <row r="1828" spans="16:40" x14ac:dyDescent="0.2"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  <c r="AA1828" s="52"/>
      <c r="AB1828" s="52"/>
      <c r="AC1828" s="52"/>
      <c r="AD1828" s="52"/>
      <c r="AE1828" s="52"/>
      <c r="AF1828" s="52"/>
      <c r="AG1828" s="52"/>
      <c r="AH1828" s="52"/>
      <c r="AM1828" s="52"/>
      <c r="AN1828" s="52"/>
    </row>
    <row r="1829" spans="16:40" x14ac:dyDescent="0.2"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  <c r="AA1829" s="52"/>
      <c r="AB1829" s="52"/>
      <c r="AC1829" s="52"/>
      <c r="AD1829" s="52"/>
      <c r="AE1829" s="52"/>
      <c r="AF1829" s="52"/>
      <c r="AG1829" s="52"/>
      <c r="AH1829" s="52"/>
      <c r="AM1829" s="52"/>
      <c r="AN1829" s="52"/>
    </row>
    <row r="1830" spans="16:40" x14ac:dyDescent="0.2"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  <c r="AA1830" s="52"/>
      <c r="AB1830" s="52"/>
      <c r="AC1830" s="52"/>
      <c r="AD1830" s="52"/>
      <c r="AE1830" s="52"/>
      <c r="AF1830" s="52"/>
      <c r="AG1830" s="52"/>
      <c r="AH1830" s="52"/>
      <c r="AM1830" s="52"/>
      <c r="AN1830" s="52"/>
    </row>
    <row r="1831" spans="16:40" x14ac:dyDescent="0.2"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  <c r="AA1831" s="52"/>
      <c r="AB1831" s="52"/>
      <c r="AC1831" s="52"/>
      <c r="AD1831" s="52"/>
      <c r="AE1831" s="52"/>
      <c r="AF1831" s="52"/>
      <c r="AG1831" s="52"/>
      <c r="AH1831" s="52"/>
      <c r="AM1831" s="52"/>
      <c r="AN1831" s="52"/>
    </row>
    <row r="1832" spans="16:40" x14ac:dyDescent="0.2"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  <c r="AA1832" s="52"/>
      <c r="AB1832" s="52"/>
      <c r="AC1832" s="52"/>
      <c r="AD1832" s="52"/>
      <c r="AE1832" s="52"/>
      <c r="AF1832" s="52"/>
      <c r="AG1832" s="52"/>
      <c r="AH1832" s="52"/>
      <c r="AM1832" s="52"/>
      <c r="AN1832" s="52"/>
    </row>
    <row r="1833" spans="16:40" x14ac:dyDescent="0.2"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  <c r="AA1833" s="52"/>
      <c r="AB1833" s="52"/>
      <c r="AC1833" s="52"/>
      <c r="AD1833" s="52"/>
      <c r="AE1833" s="52"/>
      <c r="AF1833" s="52"/>
      <c r="AG1833" s="52"/>
      <c r="AH1833" s="52"/>
      <c r="AM1833" s="52"/>
      <c r="AN1833" s="52"/>
    </row>
    <row r="1834" spans="16:40" x14ac:dyDescent="0.2"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  <c r="AA1834" s="52"/>
      <c r="AB1834" s="52"/>
      <c r="AC1834" s="52"/>
      <c r="AD1834" s="52"/>
      <c r="AE1834" s="52"/>
      <c r="AF1834" s="52"/>
      <c r="AG1834" s="52"/>
      <c r="AH1834" s="52"/>
      <c r="AM1834" s="52"/>
      <c r="AN1834" s="52"/>
    </row>
    <row r="1835" spans="16:40" x14ac:dyDescent="0.2"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  <c r="AA1835" s="52"/>
      <c r="AB1835" s="52"/>
      <c r="AC1835" s="52"/>
      <c r="AD1835" s="52"/>
      <c r="AE1835" s="52"/>
      <c r="AF1835" s="52"/>
      <c r="AG1835" s="52"/>
      <c r="AH1835" s="52"/>
      <c r="AM1835" s="52"/>
      <c r="AN1835" s="52"/>
    </row>
    <row r="1836" spans="16:40" x14ac:dyDescent="0.2"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  <c r="AA1836" s="52"/>
      <c r="AB1836" s="52"/>
      <c r="AC1836" s="52"/>
      <c r="AD1836" s="52"/>
      <c r="AE1836" s="52"/>
      <c r="AF1836" s="52"/>
      <c r="AG1836" s="52"/>
      <c r="AH1836" s="52"/>
      <c r="AM1836" s="52"/>
      <c r="AN1836" s="52"/>
    </row>
    <row r="1837" spans="16:40" x14ac:dyDescent="0.2"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  <c r="AA1837" s="52"/>
      <c r="AB1837" s="52"/>
      <c r="AC1837" s="52"/>
      <c r="AD1837" s="52"/>
      <c r="AE1837" s="52"/>
      <c r="AF1837" s="52"/>
      <c r="AG1837" s="52"/>
      <c r="AH1837" s="52"/>
      <c r="AM1837" s="52"/>
      <c r="AN1837" s="52"/>
    </row>
    <row r="1838" spans="16:40" x14ac:dyDescent="0.2"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  <c r="AA1838" s="52"/>
      <c r="AB1838" s="52"/>
      <c r="AC1838" s="52"/>
      <c r="AD1838" s="52"/>
      <c r="AE1838" s="52"/>
      <c r="AF1838" s="52"/>
      <c r="AG1838" s="52"/>
      <c r="AH1838" s="52"/>
      <c r="AM1838" s="52"/>
      <c r="AN1838" s="52"/>
    </row>
    <row r="1839" spans="16:40" x14ac:dyDescent="0.2"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  <c r="AA1839" s="52"/>
      <c r="AB1839" s="52"/>
      <c r="AC1839" s="52"/>
      <c r="AD1839" s="52"/>
      <c r="AE1839" s="52"/>
      <c r="AF1839" s="52"/>
      <c r="AG1839" s="52"/>
      <c r="AH1839" s="52"/>
      <c r="AM1839" s="52"/>
      <c r="AN1839" s="52"/>
    </row>
    <row r="1840" spans="16:40" x14ac:dyDescent="0.2"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  <c r="AA1840" s="52"/>
      <c r="AB1840" s="52"/>
      <c r="AC1840" s="52"/>
      <c r="AD1840" s="52"/>
      <c r="AE1840" s="52"/>
      <c r="AF1840" s="52"/>
      <c r="AG1840" s="52"/>
      <c r="AH1840" s="52"/>
      <c r="AM1840" s="52"/>
      <c r="AN1840" s="52"/>
    </row>
    <row r="1841" spans="16:40" x14ac:dyDescent="0.2"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  <c r="AD1841" s="52"/>
      <c r="AE1841" s="52"/>
      <c r="AF1841" s="52"/>
      <c r="AG1841" s="52"/>
      <c r="AH1841" s="52"/>
      <c r="AM1841" s="52"/>
      <c r="AN1841" s="52"/>
    </row>
    <row r="1842" spans="16:40" x14ac:dyDescent="0.2"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  <c r="AA1842" s="52"/>
      <c r="AB1842" s="52"/>
      <c r="AC1842" s="52"/>
      <c r="AD1842" s="52"/>
      <c r="AE1842" s="52"/>
      <c r="AF1842" s="52"/>
      <c r="AG1842" s="52"/>
      <c r="AH1842" s="52"/>
      <c r="AM1842" s="52"/>
      <c r="AN1842" s="52"/>
    </row>
    <row r="1843" spans="16:40" x14ac:dyDescent="0.2"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  <c r="AA1843" s="52"/>
      <c r="AB1843" s="52"/>
      <c r="AC1843" s="52"/>
      <c r="AD1843" s="52"/>
      <c r="AE1843" s="52"/>
      <c r="AF1843" s="52"/>
      <c r="AG1843" s="52"/>
      <c r="AH1843" s="52"/>
      <c r="AM1843" s="52"/>
      <c r="AN1843" s="52"/>
    </row>
    <row r="1844" spans="16:40" x14ac:dyDescent="0.2"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  <c r="AA1844" s="52"/>
      <c r="AB1844" s="52"/>
      <c r="AC1844" s="52"/>
      <c r="AD1844" s="52"/>
      <c r="AE1844" s="52"/>
      <c r="AF1844" s="52"/>
      <c r="AG1844" s="52"/>
      <c r="AH1844" s="52"/>
      <c r="AM1844" s="52"/>
      <c r="AN1844" s="52"/>
    </row>
    <row r="1845" spans="16:40" x14ac:dyDescent="0.2"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  <c r="AA1845" s="52"/>
      <c r="AB1845" s="52"/>
      <c r="AC1845" s="52"/>
      <c r="AD1845" s="52"/>
      <c r="AE1845" s="52"/>
      <c r="AF1845" s="52"/>
      <c r="AG1845" s="52"/>
      <c r="AH1845" s="52"/>
      <c r="AM1845" s="52"/>
      <c r="AN1845" s="52"/>
    </row>
    <row r="1846" spans="16:40" x14ac:dyDescent="0.2"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  <c r="AD1846" s="52"/>
      <c r="AE1846" s="52"/>
      <c r="AF1846" s="52"/>
      <c r="AG1846" s="52"/>
      <c r="AH1846" s="52"/>
      <c r="AM1846" s="52"/>
      <c r="AN1846" s="52"/>
    </row>
    <row r="1847" spans="16:40" x14ac:dyDescent="0.2"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  <c r="AA1847" s="52"/>
      <c r="AB1847" s="52"/>
      <c r="AC1847" s="52"/>
      <c r="AD1847" s="52"/>
      <c r="AE1847" s="52"/>
      <c r="AF1847" s="52"/>
      <c r="AG1847" s="52"/>
      <c r="AH1847" s="52"/>
      <c r="AM1847" s="52"/>
      <c r="AN1847" s="52"/>
    </row>
    <row r="1848" spans="16:40" x14ac:dyDescent="0.2"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  <c r="AA1848" s="52"/>
      <c r="AB1848" s="52"/>
      <c r="AC1848" s="52"/>
      <c r="AD1848" s="52"/>
      <c r="AE1848" s="52"/>
      <c r="AF1848" s="52"/>
      <c r="AG1848" s="52"/>
      <c r="AH1848" s="52"/>
      <c r="AM1848" s="52"/>
      <c r="AN1848" s="52"/>
    </row>
    <row r="1849" spans="16:40" x14ac:dyDescent="0.2"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  <c r="AA1849" s="52"/>
      <c r="AB1849" s="52"/>
      <c r="AC1849" s="52"/>
      <c r="AD1849" s="52"/>
      <c r="AE1849" s="52"/>
      <c r="AF1849" s="52"/>
      <c r="AG1849" s="52"/>
      <c r="AH1849" s="52"/>
      <c r="AM1849" s="52"/>
      <c r="AN1849" s="52"/>
    </row>
    <row r="1850" spans="16:40" x14ac:dyDescent="0.2"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  <c r="AA1850" s="52"/>
      <c r="AB1850" s="52"/>
      <c r="AC1850" s="52"/>
      <c r="AD1850" s="52"/>
      <c r="AE1850" s="52"/>
      <c r="AF1850" s="52"/>
      <c r="AG1850" s="52"/>
      <c r="AH1850" s="52"/>
      <c r="AM1850" s="52"/>
      <c r="AN1850" s="52"/>
    </row>
    <row r="1851" spans="16:40" x14ac:dyDescent="0.2"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  <c r="AA1851" s="52"/>
      <c r="AB1851" s="52"/>
      <c r="AC1851" s="52"/>
      <c r="AD1851" s="52"/>
      <c r="AE1851" s="52"/>
      <c r="AF1851" s="52"/>
      <c r="AG1851" s="52"/>
      <c r="AH1851" s="52"/>
      <c r="AM1851" s="52"/>
      <c r="AN1851" s="52"/>
    </row>
    <row r="1852" spans="16:40" x14ac:dyDescent="0.2"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  <c r="AA1852" s="52"/>
      <c r="AB1852" s="52"/>
      <c r="AC1852" s="52"/>
      <c r="AD1852" s="52"/>
      <c r="AE1852" s="52"/>
      <c r="AF1852" s="52"/>
      <c r="AG1852" s="52"/>
      <c r="AH1852" s="52"/>
      <c r="AM1852" s="52"/>
      <c r="AN1852" s="52"/>
    </row>
    <row r="1853" spans="16:40" x14ac:dyDescent="0.2"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  <c r="AA1853" s="52"/>
      <c r="AB1853" s="52"/>
      <c r="AC1853" s="52"/>
      <c r="AD1853" s="52"/>
      <c r="AE1853" s="52"/>
      <c r="AF1853" s="52"/>
      <c r="AG1853" s="52"/>
      <c r="AH1853" s="52"/>
      <c r="AM1853" s="52"/>
      <c r="AN1853" s="52"/>
    </row>
    <row r="1854" spans="16:40" x14ac:dyDescent="0.2"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  <c r="AA1854" s="52"/>
      <c r="AB1854" s="52"/>
      <c r="AC1854" s="52"/>
      <c r="AD1854" s="52"/>
      <c r="AE1854" s="52"/>
      <c r="AF1854" s="52"/>
      <c r="AG1854" s="52"/>
      <c r="AH1854" s="52"/>
      <c r="AM1854" s="52"/>
      <c r="AN1854" s="52"/>
    </row>
    <row r="1855" spans="16:40" x14ac:dyDescent="0.2"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52"/>
      <c r="AC1855" s="52"/>
      <c r="AD1855" s="52"/>
      <c r="AE1855" s="52"/>
      <c r="AF1855" s="52"/>
      <c r="AG1855" s="52"/>
      <c r="AH1855" s="52"/>
      <c r="AM1855" s="52"/>
      <c r="AN1855" s="52"/>
    </row>
    <row r="1856" spans="16:40" x14ac:dyDescent="0.2"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  <c r="AA1856" s="52"/>
      <c r="AB1856" s="52"/>
      <c r="AC1856" s="52"/>
      <c r="AD1856" s="52"/>
      <c r="AE1856" s="52"/>
      <c r="AF1856" s="52"/>
      <c r="AG1856" s="52"/>
      <c r="AH1856" s="52"/>
      <c r="AM1856" s="52"/>
      <c r="AN1856" s="52"/>
    </row>
    <row r="1857" spans="16:40" x14ac:dyDescent="0.2"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  <c r="AA1857" s="52"/>
      <c r="AB1857" s="52"/>
      <c r="AC1857" s="52"/>
      <c r="AD1857" s="52"/>
      <c r="AE1857" s="52"/>
      <c r="AF1857" s="52"/>
      <c r="AG1857" s="52"/>
      <c r="AH1857" s="52"/>
      <c r="AM1857" s="52"/>
      <c r="AN1857" s="52"/>
    </row>
    <row r="1858" spans="16:40" x14ac:dyDescent="0.2"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  <c r="AD1858" s="52"/>
      <c r="AE1858" s="52"/>
      <c r="AF1858" s="52"/>
      <c r="AG1858" s="52"/>
      <c r="AH1858" s="52"/>
      <c r="AM1858" s="52"/>
      <c r="AN1858" s="52"/>
    </row>
    <row r="1859" spans="16:40" x14ac:dyDescent="0.2"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  <c r="AA1859" s="52"/>
      <c r="AB1859" s="52"/>
      <c r="AC1859" s="52"/>
      <c r="AD1859" s="52"/>
      <c r="AE1859" s="52"/>
      <c r="AF1859" s="52"/>
      <c r="AG1859" s="52"/>
      <c r="AH1859" s="52"/>
      <c r="AM1859" s="52"/>
      <c r="AN1859" s="52"/>
    </row>
    <row r="1860" spans="16:40" x14ac:dyDescent="0.2"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  <c r="AA1860" s="52"/>
      <c r="AB1860" s="52"/>
      <c r="AC1860" s="52"/>
      <c r="AD1860" s="52"/>
      <c r="AE1860" s="52"/>
      <c r="AF1860" s="52"/>
      <c r="AG1860" s="52"/>
      <c r="AH1860" s="52"/>
      <c r="AM1860" s="52"/>
      <c r="AN1860" s="52"/>
    </row>
    <row r="1861" spans="16:40" x14ac:dyDescent="0.2"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  <c r="AA1861" s="52"/>
      <c r="AB1861" s="52"/>
      <c r="AC1861" s="52"/>
      <c r="AD1861" s="52"/>
      <c r="AE1861" s="52"/>
      <c r="AF1861" s="52"/>
      <c r="AG1861" s="52"/>
      <c r="AH1861" s="52"/>
      <c r="AM1861" s="52"/>
      <c r="AN1861" s="52"/>
    </row>
    <row r="1862" spans="16:40" x14ac:dyDescent="0.2"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  <c r="AA1862" s="52"/>
      <c r="AB1862" s="52"/>
      <c r="AC1862" s="52"/>
      <c r="AD1862" s="52"/>
      <c r="AE1862" s="52"/>
      <c r="AF1862" s="52"/>
      <c r="AG1862" s="52"/>
      <c r="AH1862" s="52"/>
      <c r="AM1862" s="52"/>
      <c r="AN1862" s="52"/>
    </row>
    <row r="1863" spans="16:40" x14ac:dyDescent="0.2"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  <c r="AD1863" s="52"/>
      <c r="AE1863" s="52"/>
      <c r="AF1863" s="52"/>
      <c r="AG1863" s="52"/>
      <c r="AH1863" s="52"/>
      <c r="AM1863" s="52"/>
      <c r="AN1863" s="52"/>
    </row>
    <row r="1864" spans="16:40" x14ac:dyDescent="0.2"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  <c r="AA1864" s="52"/>
      <c r="AB1864" s="52"/>
      <c r="AC1864" s="52"/>
      <c r="AD1864" s="52"/>
      <c r="AE1864" s="52"/>
      <c r="AF1864" s="52"/>
      <c r="AG1864" s="52"/>
      <c r="AH1864" s="52"/>
      <c r="AM1864" s="52"/>
      <c r="AN1864" s="52"/>
    </row>
    <row r="1865" spans="16:40" x14ac:dyDescent="0.2"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  <c r="AA1865" s="52"/>
      <c r="AB1865" s="52"/>
      <c r="AC1865" s="52"/>
      <c r="AD1865" s="52"/>
      <c r="AE1865" s="52"/>
      <c r="AF1865" s="52"/>
      <c r="AG1865" s="52"/>
      <c r="AH1865" s="52"/>
      <c r="AM1865" s="52"/>
      <c r="AN1865" s="52"/>
    </row>
    <row r="1866" spans="16:40" x14ac:dyDescent="0.2"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  <c r="AA1866" s="52"/>
      <c r="AB1866" s="52"/>
      <c r="AC1866" s="52"/>
      <c r="AD1866" s="52"/>
      <c r="AE1866" s="52"/>
      <c r="AF1866" s="52"/>
      <c r="AG1866" s="52"/>
      <c r="AH1866" s="52"/>
      <c r="AM1866" s="52"/>
      <c r="AN1866" s="52"/>
    </row>
    <row r="1867" spans="16:40" x14ac:dyDescent="0.2"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  <c r="AA1867" s="52"/>
      <c r="AB1867" s="52"/>
      <c r="AC1867" s="52"/>
      <c r="AD1867" s="52"/>
      <c r="AE1867" s="52"/>
      <c r="AF1867" s="52"/>
      <c r="AG1867" s="52"/>
      <c r="AH1867" s="52"/>
      <c r="AM1867" s="52"/>
      <c r="AN1867" s="52"/>
    </row>
    <row r="1868" spans="16:40" x14ac:dyDescent="0.2"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  <c r="AA1868" s="52"/>
      <c r="AB1868" s="52"/>
      <c r="AC1868" s="52"/>
      <c r="AD1868" s="52"/>
      <c r="AE1868" s="52"/>
      <c r="AF1868" s="52"/>
      <c r="AG1868" s="52"/>
      <c r="AH1868" s="52"/>
      <c r="AM1868" s="52"/>
      <c r="AN1868" s="52"/>
    </row>
    <row r="1869" spans="16:40" x14ac:dyDescent="0.2"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  <c r="AA1869" s="52"/>
      <c r="AB1869" s="52"/>
      <c r="AC1869" s="52"/>
      <c r="AD1869" s="52"/>
      <c r="AE1869" s="52"/>
      <c r="AF1869" s="52"/>
      <c r="AG1869" s="52"/>
      <c r="AH1869" s="52"/>
      <c r="AM1869" s="52"/>
      <c r="AN1869" s="52"/>
    </row>
    <row r="1870" spans="16:40" x14ac:dyDescent="0.2"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  <c r="AA1870" s="52"/>
      <c r="AB1870" s="52"/>
      <c r="AC1870" s="52"/>
      <c r="AD1870" s="52"/>
      <c r="AE1870" s="52"/>
      <c r="AF1870" s="52"/>
      <c r="AG1870" s="52"/>
      <c r="AH1870" s="52"/>
      <c r="AM1870" s="52"/>
      <c r="AN1870" s="52"/>
    </row>
    <row r="1871" spans="16:40" x14ac:dyDescent="0.2"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  <c r="AA1871" s="52"/>
      <c r="AB1871" s="52"/>
      <c r="AC1871" s="52"/>
      <c r="AD1871" s="52"/>
      <c r="AE1871" s="52"/>
      <c r="AF1871" s="52"/>
      <c r="AG1871" s="52"/>
      <c r="AH1871" s="52"/>
      <c r="AM1871" s="52"/>
      <c r="AN1871" s="52"/>
    </row>
    <row r="1872" spans="16:40" x14ac:dyDescent="0.2"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  <c r="AA1872" s="52"/>
      <c r="AB1872" s="52"/>
      <c r="AC1872" s="52"/>
      <c r="AD1872" s="52"/>
      <c r="AE1872" s="52"/>
      <c r="AF1872" s="52"/>
      <c r="AG1872" s="52"/>
      <c r="AH1872" s="52"/>
      <c r="AM1872" s="52"/>
      <c r="AN1872" s="52"/>
    </row>
    <row r="1873" spans="16:40" x14ac:dyDescent="0.2"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  <c r="AA1873" s="52"/>
      <c r="AB1873" s="52"/>
      <c r="AC1873" s="52"/>
      <c r="AD1873" s="52"/>
      <c r="AE1873" s="52"/>
      <c r="AF1873" s="52"/>
      <c r="AG1873" s="52"/>
      <c r="AH1873" s="52"/>
      <c r="AM1873" s="52"/>
      <c r="AN1873" s="52"/>
    </row>
    <row r="1874" spans="16:40" x14ac:dyDescent="0.2"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  <c r="AA1874" s="52"/>
      <c r="AB1874" s="52"/>
      <c r="AC1874" s="52"/>
      <c r="AD1874" s="52"/>
      <c r="AE1874" s="52"/>
      <c r="AF1874" s="52"/>
      <c r="AG1874" s="52"/>
      <c r="AH1874" s="52"/>
      <c r="AM1874" s="52"/>
      <c r="AN1874" s="52"/>
    </row>
    <row r="1875" spans="16:40" x14ac:dyDescent="0.2"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  <c r="AA1875" s="52"/>
      <c r="AB1875" s="52"/>
      <c r="AC1875" s="52"/>
      <c r="AD1875" s="52"/>
      <c r="AE1875" s="52"/>
      <c r="AF1875" s="52"/>
      <c r="AG1875" s="52"/>
      <c r="AH1875" s="52"/>
      <c r="AM1875" s="52"/>
      <c r="AN1875" s="52"/>
    </row>
    <row r="1876" spans="16:40" x14ac:dyDescent="0.2"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  <c r="AA1876" s="52"/>
      <c r="AB1876" s="52"/>
      <c r="AC1876" s="52"/>
      <c r="AD1876" s="52"/>
      <c r="AE1876" s="52"/>
      <c r="AF1876" s="52"/>
      <c r="AG1876" s="52"/>
      <c r="AH1876" s="52"/>
      <c r="AM1876" s="52"/>
      <c r="AN1876" s="52"/>
    </row>
    <row r="1877" spans="16:40" x14ac:dyDescent="0.2"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  <c r="AA1877" s="52"/>
      <c r="AB1877" s="52"/>
      <c r="AC1877" s="52"/>
      <c r="AD1877" s="52"/>
      <c r="AE1877" s="52"/>
      <c r="AF1877" s="52"/>
      <c r="AG1877" s="52"/>
      <c r="AH1877" s="52"/>
      <c r="AM1877" s="52"/>
      <c r="AN1877" s="52"/>
    </row>
    <row r="1878" spans="16:40" x14ac:dyDescent="0.2"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  <c r="AA1878" s="52"/>
      <c r="AB1878" s="52"/>
      <c r="AC1878" s="52"/>
      <c r="AD1878" s="52"/>
      <c r="AE1878" s="52"/>
      <c r="AF1878" s="52"/>
      <c r="AG1878" s="52"/>
      <c r="AH1878" s="52"/>
      <c r="AM1878" s="52"/>
      <c r="AN1878" s="52"/>
    </row>
    <row r="1879" spans="16:40" x14ac:dyDescent="0.2"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52"/>
      <c r="AC1879" s="52"/>
      <c r="AD1879" s="52"/>
      <c r="AE1879" s="52"/>
      <c r="AF1879" s="52"/>
      <c r="AG1879" s="52"/>
      <c r="AH1879" s="52"/>
      <c r="AM1879" s="52"/>
      <c r="AN1879" s="52"/>
    </row>
    <row r="1880" spans="16:40" x14ac:dyDescent="0.2"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  <c r="AA1880" s="52"/>
      <c r="AB1880" s="52"/>
      <c r="AC1880" s="52"/>
      <c r="AD1880" s="52"/>
      <c r="AE1880" s="52"/>
      <c r="AF1880" s="52"/>
      <c r="AG1880" s="52"/>
      <c r="AH1880" s="52"/>
      <c r="AM1880" s="52"/>
      <c r="AN1880" s="52"/>
    </row>
    <row r="1881" spans="16:40" x14ac:dyDescent="0.2"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  <c r="AA1881" s="52"/>
      <c r="AB1881" s="52"/>
      <c r="AC1881" s="52"/>
      <c r="AD1881" s="52"/>
      <c r="AE1881" s="52"/>
      <c r="AF1881" s="52"/>
      <c r="AG1881" s="52"/>
      <c r="AH1881" s="52"/>
      <c r="AM1881" s="52"/>
      <c r="AN1881" s="52"/>
    </row>
    <row r="1882" spans="16:40" x14ac:dyDescent="0.2"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  <c r="AA1882" s="52"/>
      <c r="AB1882" s="52"/>
      <c r="AC1882" s="52"/>
      <c r="AD1882" s="52"/>
      <c r="AE1882" s="52"/>
      <c r="AF1882" s="52"/>
      <c r="AG1882" s="52"/>
      <c r="AH1882" s="52"/>
      <c r="AM1882" s="52"/>
      <c r="AN1882" s="52"/>
    </row>
    <row r="1883" spans="16:40" x14ac:dyDescent="0.2"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  <c r="AA1883" s="52"/>
      <c r="AB1883" s="52"/>
      <c r="AC1883" s="52"/>
      <c r="AD1883" s="52"/>
      <c r="AE1883" s="52"/>
      <c r="AF1883" s="52"/>
      <c r="AG1883" s="52"/>
      <c r="AH1883" s="52"/>
      <c r="AM1883" s="52"/>
      <c r="AN1883" s="52"/>
    </row>
    <row r="1884" spans="16:40" x14ac:dyDescent="0.2"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  <c r="AA1884" s="52"/>
      <c r="AB1884" s="52"/>
      <c r="AC1884" s="52"/>
      <c r="AD1884" s="52"/>
      <c r="AE1884" s="52"/>
      <c r="AF1884" s="52"/>
      <c r="AG1884" s="52"/>
      <c r="AH1884" s="52"/>
      <c r="AM1884" s="52"/>
      <c r="AN1884" s="52"/>
    </row>
    <row r="1885" spans="16:40" x14ac:dyDescent="0.2"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  <c r="AA1885" s="52"/>
      <c r="AB1885" s="52"/>
      <c r="AC1885" s="52"/>
      <c r="AD1885" s="52"/>
      <c r="AE1885" s="52"/>
      <c r="AF1885" s="52"/>
      <c r="AG1885" s="52"/>
      <c r="AH1885" s="52"/>
      <c r="AM1885" s="52"/>
      <c r="AN1885" s="52"/>
    </row>
    <row r="1886" spans="16:40" x14ac:dyDescent="0.2"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  <c r="AD1886" s="52"/>
      <c r="AE1886" s="52"/>
      <c r="AF1886" s="52"/>
      <c r="AG1886" s="52"/>
      <c r="AH1886" s="52"/>
      <c r="AM1886" s="52"/>
      <c r="AN1886" s="52"/>
    </row>
    <row r="1887" spans="16:40" x14ac:dyDescent="0.2"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  <c r="AA1887" s="52"/>
      <c r="AB1887" s="52"/>
      <c r="AC1887" s="52"/>
      <c r="AD1887" s="52"/>
      <c r="AE1887" s="52"/>
      <c r="AF1887" s="52"/>
      <c r="AG1887" s="52"/>
      <c r="AH1887" s="52"/>
      <c r="AM1887" s="52"/>
      <c r="AN1887" s="52"/>
    </row>
    <row r="1888" spans="16:40" x14ac:dyDescent="0.2"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52"/>
      <c r="AC1888" s="52"/>
      <c r="AD1888" s="52"/>
      <c r="AE1888" s="52"/>
      <c r="AF1888" s="52"/>
      <c r="AG1888" s="52"/>
      <c r="AH1888" s="52"/>
      <c r="AM1888" s="52"/>
      <c r="AN1888" s="52"/>
    </row>
    <row r="1889" spans="16:40" x14ac:dyDescent="0.2"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  <c r="AA1889" s="52"/>
      <c r="AB1889" s="52"/>
      <c r="AC1889" s="52"/>
      <c r="AD1889" s="52"/>
      <c r="AE1889" s="52"/>
      <c r="AF1889" s="52"/>
      <c r="AG1889" s="52"/>
      <c r="AH1889" s="52"/>
      <c r="AM1889" s="52"/>
      <c r="AN1889" s="52"/>
    </row>
    <row r="1890" spans="16:40" x14ac:dyDescent="0.2"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  <c r="AA1890" s="52"/>
      <c r="AB1890" s="52"/>
      <c r="AC1890" s="52"/>
      <c r="AD1890" s="52"/>
      <c r="AE1890" s="52"/>
      <c r="AF1890" s="52"/>
      <c r="AG1890" s="52"/>
      <c r="AH1890" s="52"/>
      <c r="AM1890" s="52"/>
      <c r="AN1890" s="52"/>
    </row>
    <row r="1891" spans="16:40" x14ac:dyDescent="0.2"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  <c r="AA1891" s="52"/>
      <c r="AB1891" s="52"/>
      <c r="AC1891" s="52"/>
      <c r="AD1891" s="52"/>
      <c r="AE1891" s="52"/>
      <c r="AF1891" s="52"/>
      <c r="AG1891" s="52"/>
      <c r="AH1891" s="52"/>
      <c r="AM1891" s="52"/>
      <c r="AN1891" s="52"/>
    </row>
    <row r="1892" spans="16:40" x14ac:dyDescent="0.2"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  <c r="AA1892" s="52"/>
      <c r="AB1892" s="52"/>
      <c r="AC1892" s="52"/>
      <c r="AD1892" s="52"/>
      <c r="AE1892" s="52"/>
      <c r="AF1892" s="52"/>
      <c r="AG1892" s="52"/>
      <c r="AH1892" s="52"/>
      <c r="AM1892" s="52"/>
      <c r="AN1892" s="52"/>
    </row>
    <row r="1893" spans="16:40" x14ac:dyDescent="0.2"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  <c r="AA1893" s="52"/>
      <c r="AB1893" s="52"/>
      <c r="AC1893" s="52"/>
      <c r="AD1893" s="52"/>
      <c r="AE1893" s="52"/>
      <c r="AF1893" s="52"/>
      <c r="AG1893" s="52"/>
      <c r="AH1893" s="52"/>
      <c r="AM1893" s="52"/>
      <c r="AN1893" s="52"/>
    </row>
    <row r="1894" spans="16:40" x14ac:dyDescent="0.2"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  <c r="AA1894" s="52"/>
      <c r="AB1894" s="52"/>
      <c r="AC1894" s="52"/>
      <c r="AD1894" s="52"/>
      <c r="AE1894" s="52"/>
      <c r="AF1894" s="52"/>
      <c r="AG1894" s="52"/>
      <c r="AH1894" s="52"/>
      <c r="AM1894" s="52"/>
      <c r="AN1894" s="52"/>
    </row>
    <row r="1895" spans="16:40" x14ac:dyDescent="0.2"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  <c r="AA1895" s="52"/>
      <c r="AB1895" s="52"/>
      <c r="AC1895" s="52"/>
      <c r="AD1895" s="52"/>
      <c r="AE1895" s="52"/>
      <c r="AF1895" s="52"/>
      <c r="AG1895" s="52"/>
      <c r="AH1895" s="52"/>
      <c r="AM1895" s="52"/>
      <c r="AN1895" s="52"/>
    </row>
    <row r="1896" spans="16:40" x14ac:dyDescent="0.2"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  <c r="AA1896" s="52"/>
      <c r="AB1896" s="52"/>
      <c r="AC1896" s="52"/>
      <c r="AD1896" s="52"/>
      <c r="AE1896" s="52"/>
      <c r="AF1896" s="52"/>
      <c r="AG1896" s="52"/>
      <c r="AH1896" s="52"/>
      <c r="AM1896" s="52"/>
      <c r="AN1896" s="52"/>
    </row>
    <row r="1897" spans="16:40" x14ac:dyDescent="0.2"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  <c r="AA1897" s="52"/>
      <c r="AB1897" s="52"/>
      <c r="AC1897" s="52"/>
      <c r="AD1897" s="52"/>
      <c r="AE1897" s="52"/>
      <c r="AF1897" s="52"/>
      <c r="AG1897" s="52"/>
      <c r="AH1897" s="52"/>
      <c r="AM1897" s="52"/>
      <c r="AN1897" s="52"/>
    </row>
    <row r="1898" spans="16:40" x14ac:dyDescent="0.2"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  <c r="AA1898" s="52"/>
      <c r="AB1898" s="52"/>
      <c r="AC1898" s="52"/>
      <c r="AD1898" s="52"/>
      <c r="AE1898" s="52"/>
      <c r="AF1898" s="52"/>
      <c r="AG1898" s="52"/>
      <c r="AH1898" s="52"/>
      <c r="AM1898" s="52"/>
      <c r="AN1898" s="52"/>
    </row>
    <row r="1899" spans="16:40" x14ac:dyDescent="0.2"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  <c r="AA1899" s="52"/>
      <c r="AB1899" s="52"/>
      <c r="AC1899" s="52"/>
      <c r="AD1899" s="52"/>
      <c r="AE1899" s="52"/>
      <c r="AF1899" s="52"/>
      <c r="AG1899" s="52"/>
      <c r="AH1899" s="52"/>
      <c r="AM1899" s="52"/>
      <c r="AN1899" s="52"/>
    </row>
    <row r="1900" spans="16:40" x14ac:dyDescent="0.2"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  <c r="AA1900" s="52"/>
      <c r="AB1900" s="52"/>
      <c r="AC1900" s="52"/>
      <c r="AD1900" s="52"/>
      <c r="AE1900" s="52"/>
      <c r="AF1900" s="52"/>
      <c r="AG1900" s="52"/>
      <c r="AH1900" s="52"/>
      <c r="AM1900" s="52"/>
      <c r="AN1900" s="52"/>
    </row>
    <row r="1901" spans="16:40" x14ac:dyDescent="0.2"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  <c r="AA1901" s="52"/>
      <c r="AB1901" s="52"/>
      <c r="AC1901" s="52"/>
      <c r="AD1901" s="52"/>
      <c r="AE1901" s="52"/>
      <c r="AF1901" s="52"/>
      <c r="AG1901" s="52"/>
      <c r="AH1901" s="52"/>
      <c r="AM1901" s="52"/>
      <c r="AN1901" s="52"/>
    </row>
    <row r="1902" spans="16:40" x14ac:dyDescent="0.2"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  <c r="AA1902" s="52"/>
      <c r="AB1902" s="52"/>
      <c r="AC1902" s="52"/>
      <c r="AD1902" s="52"/>
      <c r="AE1902" s="52"/>
      <c r="AF1902" s="52"/>
      <c r="AG1902" s="52"/>
      <c r="AH1902" s="52"/>
      <c r="AM1902" s="52"/>
      <c r="AN1902" s="52"/>
    </row>
    <row r="1903" spans="16:40" x14ac:dyDescent="0.2"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  <c r="AA1903" s="52"/>
      <c r="AB1903" s="52"/>
      <c r="AC1903" s="52"/>
      <c r="AD1903" s="52"/>
      <c r="AE1903" s="52"/>
      <c r="AF1903" s="52"/>
      <c r="AG1903" s="52"/>
      <c r="AH1903" s="52"/>
      <c r="AM1903" s="52"/>
      <c r="AN1903" s="52"/>
    </row>
    <row r="1904" spans="16:40" x14ac:dyDescent="0.2"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  <c r="AA1904" s="52"/>
      <c r="AB1904" s="52"/>
      <c r="AC1904" s="52"/>
      <c r="AD1904" s="52"/>
      <c r="AE1904" s="52"/>
      <c r="AF1904" s="52"/>
      <c r="AG1904" s="52"/>
      <c r="AH1904" s="52"/>
      <c r="AM1904" s="52"/>
      <c r="AN1904" s="52"/>
    </row>
    <row r="1905" spans="16:40" x14ac:dyDescent="0.2"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  <c r="AA1905" s="52"/>
      <c r="AB1905" s="52"/>
      <c r="AC1905" s="52"/>
      <c r="AD1905" s="52"/>
      <c r="AE1905" s="52"/>
      <c r="AF1905" s="52"/>
      <c r="AG1905" s="52"/>
      <c r="AH1905" s="52"/>
      <c r="AM1905" s="52"/>
      <c r="AN1905" s="52"/>
    </row>
    <row r="1906" spans="16:40" x14ac:dyDescent="0.2"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  <c r="AA1906" s="52"/>
      <c r="AB1906" s="52"/>
      <c r="AC1906" s="52"/>
      <c r="AD1906" s="52"/>
      <c r="AE1906" s="52"/>
      <c r="AF1906" s="52"/>
      <c r="AG1906" s="52"/>
      <c r="AH1906" s="52"/>
      <c r="AM1906" s="52"/>
      <c r="AN1906" s="52"/>
    </row>
    <row r="1907" spans="16:40" x14ac:dyDescent="0.2"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  <c r="AA1907" s="52"/>
      <c r="AB1907" s="52"/>
      <c r="AC1907" s="52"/>
      <c r="AD1907" s="52"/>
      <c r="AE1907" s="52"/>
      <c r="AF1907" s="52"/>
      <c r="AG1907" s="52"/>
      <c r="AH1907" s="52"/>
      <c r="AM1907" s="52"/>
      <c r="AN1907" s="52"/>
    </row>
    <row r="1908" spans="16:40" x14ac:dyDescent="0.2"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  <c r="AA1908" s="52"/>
      <c r="AB1908" s="52"/>
      <c r="AC1908" s="52"/>
      <c r="AD1908" s="52"/>
      <c r="AE1908" s="52"/>
      <c r="AF1908" s="52"/>
      <c r="AG1908" s="52"/>
      <c r="AH1908" s="52"/>
      <c r="AM1908" s="52"/>
      <c r="AN1908" s="52"/>
    </row>
    <row r="1909" spans="16:40" x14ac:dyDescent="0.2"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  <c r="AA1909" s="52"/>
      <c r="AB1909" s="52"/>
      <c r="AC1909" s="52"/>
      <c r="AD1909" s="52"/>
      <c r="AE1909" s="52"/>
      <c r="AF1909" s="52"/>
      <c r="AG1909" s="52"/>
      <c r="AH1909" s="52"/>
      <c r="AM1909" s="52"/>
      <c r="AN1909" s="52"/>
    </row>
    <row r="1910" spans="16:40" x14ac:dyDescent="0.2"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  <c r="AA1910" s="52"/>
      <c r="AB1910" s="52"/>
      <c r="AC1910" s="52"/>
      <c r="AD1910" s="52"/>
      <c r="AE1910" s="52"/>
      <c r="AF1910" s="52"/>
      <c r="AG1910" s="52"/>
      <c r="AH1910" s="52"/>
      <c r="AM1910" s="52"/>
      <c r="AN1910" s="52"/>
    </row>
    <row r="1911" spans="16:40" x14ac:dyDescent="0.2"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  <c r="AA1911" s="52"/>
      <c r="AB1911" s="52"/>
      <c r="AC1911" s="52"/>
      <c r="AD1911" s="52"/>
      <c r="AE1911" s="52"/>
      <c r="AF1911" s="52"/>
      <c r="AG1911" s="52"/>
      <c r="AH1911" s="52"/>
      <c r="AM1911" s="52"/>
      <c r="AN1911" s="52"/>
    </row>
    <row r="1912" spans="16:40" x14ac:dyDescent="0.2"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  <c r="AA1912" s="52"/>
      <c r="AB1912" s="52"/>
      <c r="AC1912" s="52"/>
      <c r="AD1912" s="52"/>
      <c r="AE1912" s="52"/>
      <c r="AF1912" s="52"/>
      <c r="AG1912" s="52"/>
      <c r="AH1912" s="52"/>
      <c r="AM1912" s="52"/>
      <c r="AN1912" s="52"/>
    </row>
    <row r="1913" spans="16:40" x14ac:dyDescent="0.2"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  <c r="AA1913" s="52"/>
      <c r="AB1913" s="52"/>
      <c r="AC1913" s="52"/>
      <c r="AD1913" s="52"/>
      <c r="AE1913" s="52"/>
      <c r="AF1913" s="52"/>
      <c r="AG1913" s="52"/>
      <c r="AH1913" s="52"/>
      <c r="AM1913" s="52"/>
      <c r="AN1913" s="52"/>
    </row>
    <row r="1914" spans="16:40" x14ac:dyDescent="0.2"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  <c r="AA1914" s="52"/>
      <c r="AB1914" s="52"/>
      <c r="AC1914" s="52"/>
      <c r="AD1914" s="52"/>
      <c r="AE1914" s="52"/>
      <c r="AF1914" s="52"/>
      <c r="AG1914" s="52"/>
      <c r="AH1914" s="52"/>
      <c r="AM1914" s="52"/>
      <c r="AN1914" s="52"/>
    </row>
    <row r="1915" spans="16:40" x14ac:dyDescent="0.2"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  <c r="AA1915" s="52"/>
      <c r="AB1915" s="52"/>
      <c r="AC1915" s="52"/>
      <c r="AD1915" s="52"/>
      <c r="AE1915" s="52"/>
      <c r="AF1915" s="52"/>
      <c r="AG1915" s="52"/>
      <c r="AH1915" s="52"/>
      <c r="AM1915" s="52"/>
      <c r="AN1915" s="52"/>
    </row>
    <row r="1916" spans="16:40" x14ac:dyDescent="0.2"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  <c r="AA1916" s="52"/>
      <c r="AB1916" s="52"/>
      <c r="AC1916" s="52"/>
      <c r="AD1916" s="52"/>
      <c r="AE1916" s="52"/>
      <c r="AF1916" s="52"/>
      <c r="AG1916" s="52"/>
      <c r="AH1916" s="52"/>
      <c r="AM1916" s="52"/>
      <c r="AN1916" s="52"/>
    </row>
    <row r="1917" spans="16:40" x14ac:dyDescent="0.2"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  <c r="AA1917" s="52"/>
      <c r="AB1917" s="52"/>
      <c r="AC1917" s="52"/>
      <c r="AD1917" s="52"/>
      <c r="AE1917" s="52"/>
      <c r="AF1917" s="52"/>
      <c r="AG1917" s="52"/>
      <c r="AH1917" s="52"/>
      <c r="AM1917" s="52"/>
      <c r="AN1917" s="52"/>
    </row>
    <row r="1918" spans="16:40" x14ac:dyDescent="0.2"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  <c r="AA1918" s="52"/>
      <c r="AB1918" s="52"/>
      <c r="AC1918" s="52"/>
      <c r="AD1918" s="52"/>
      <c r="AE1918" s="52"/>
      <c r="AF1918" s="52"/>
      <c r="AG1918" s="52"/>
      <c r="AH1918" s="52"/>
      <c r="AM1918" s="52"/>
      <c r="AN1918" s="52"/>
    </row>
    <row r="1919" spans="16:40" x14ac:dyDescent="0.2"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  <c r="AA1919" s="52"/>
      <c r="AB1919" s="52"/>
      <c r="AC1919" s="52"/>
      <c r="AD1919" s="52"/>
      <c r="AE1919" s="52"/>
      <c r="AF1919" s="52"/>
      <c r="AG1919" s="52"/>
      <c r="AH1919" s="52"/>
      <c r="AM1919" s="52"/>
      <c r="AN1919" s="52"/>
    </row>
    <row r="1920" spans="16:40" x14ac:dyDescent="0.2"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  <c r="AA1920" s="52"/>
      <c r="AB1920" s="52"/>
      <c r="AC1920" s="52"/>
      <c r="AD1920" s="52"/>
      <c r="AE1920" s="52"/>
      <c r="AF1920" s="52"/>
      <c r="AG1920" s="52"/>
      <c r="AH1920" s="52"/>
      <c r="AM1920" s="52"/>
      <c r="AN1920" s="52"/>
    </row>
    <row r="1921" spans="16:40" x14ac:dyDescent="0.2"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  <c r="AA1921" s="52"/>
      <c r="AB1921" s="52"/>
      <c r="AC1921" s="52"/>
      <c r="AD1921" s="52"/>
      <c r="AE1921" s="52"/>
      <c r="AF1921" s="52"/>
      <c r="AG1921" s="52"/>
      <c r="AH1921" s="52"/>
      <c r="AM1921" s="52"/>
      <c r="AN1921" s="52"/>
    </row>
    <row r="1922" spans="16:40" x14ac:dyDescent="0.2"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  <c r="AA1922" s="52"/>
      <c r="AB1922" s="52"/>
      <c r="AC1922" s="52"/>
      <c r="AD1922" s="52"/>
      <c r="AE1922" s="52"/>
      <c r="AF1922" s="52"/>
      <c r="AG1922" s="52"/>
      <c r="AH1922" s="52"/>
      <c r="AM1922" s="52"/>
      <c r="AN1922" s="52"/>
    </row>
    <row r="1923" spans="16:40" x14ac:dyDescent="0.2"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  <c r="AA1923" s="52"/>
      <c r="AB1923" s="52"/>
      <c r="AC1923" s="52"/>
      <c r="AD1923" s="52"/>
      <c r="AE1923" s="52"/>
      <c r="AF1923" s="52"/>
      <c r="AG1923" s="52"/>
      <c r="AH1923" s="52"/>
      <c r="AM1923" s="52"/>
      <c r="AN1923" s="52"/>
    </row>
    <row r="1924" spans="16:40" x14ac:dyDescent="0.2"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  <c r="AA1924" s="52"/>
      <c r="AB1924" s="52"/>
      <c r="AC1924" s="52"/>
      <c r="AD1924" s="52"/>
      <c r="AE1924" s="52"/>
      <c r="AF1924" s="52"/>
      <c r="AG1924" s="52"/>
      <c r="AH1924" s="52"/>
      <c r="AM1924" s="52"/>
      <c r="AN1924" s="52"/>
    </row>
    <row r="1925" spans="16:40" x14ac:dyDescent="0.2"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  <c r="AA1925" s="52"/>
      <c r="AB1925" s="52"/>
      <c r="AC1925" s="52"/>
      <c r="AD1925" s="52"/>
      <c r="AE1925" s="52"/>
      <c r="AF1925" s="52"/>
      <c r="AG1925" s="52"/>
      <c r="AH1925" s="52"/>
      <c r="AM1925" s="52"/>
      <c r="AN1925" s="52"/>
    </row>
    <row r="1926" spans="16:40" x14ac:dyDescent="0.2"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  <c r="AA1926" s="52"/>
      <c r="AB1926" s="52"/>
      <c r="AC1926" s="52"/>
      <c r="AD1926" s="52"/>
      <c r="AE1926" s="52"/>
      <c r="AF1926" s="52"/>
      <c r="AG1926" s="52"/>
      <c r="AH1926" s="52"/>
      <c r="AM1926" s="52"/>
      <c r="AN1926" s="52"/>
    </row>
    <row r="1927" spans="16:40" x14ac:dyDescent="0.2"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  <c r="AA1927" s="52"/>
      <c r="AB1927" s="52"/>
      <c r="AC1927" s="52"/>
      <c r="AD1927" s="52"/>
      <c r="AE1927" s="52"/>
      <c r="AF1927" s="52"/>
      <c r="AG1927" s="52"/>
      <c r="AH1927" s="52"/>
      <c r="AM1927" s="52"/>
      <c r="AN1927" s="52"/>
    </row>
    <row r="1928" spans="16:40" x14ac:dyDescent="0.2"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  <c r="AA1928" s="52"/>
      <c r="AB1928" s="52"/>
      <c r="AC1928" s="52"/>
      <c r="AD1928" s="52"/>
      <c r="AE1928" s="52"/>
      <c r="AF1928" s="52"/>
      <c r="AG1928" s="52"/>
      <c r="AH1928" s="52"/>
      <c r="AM1928" s="52"/>
      <c r="AN1928" s="52"/>
    </row>
    <row r="1929" spans="16:40" x14ac:dyDescent="0.2"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  <c r="AA1929" s="52"/>
      <c r="AB1929" s="52"/>
      <c r="AC1929" s="52"/>
      <c r="AD1929" s="52"/>
      <c r="AE1929" s="52"/>
      <c r="AF1929" s="52"/>
      <c r="AG1929" s="52"/>
      <c r="AH1929" s="52"/>
      <c r="AM1929" s="52"/>
      <c r="AN1929" s="52"/>
    </row>
    <row r="1930" spans="16:40" x14ac:dyDescent="0.2"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  <c r="AA1930" s="52"/>
      <c r="AB1930" s="52"/>
      <c r="AC1930" s="52"/>
      <c r="AD1930" s="52"/>
      <c r="AE1930" s="52"/>
      <c r="AF1930" s="52"/>
      <c r="AG1930" s="52"/>
      <c r="AH1930" s="52"/>
      <c r="AM1930" s="52"/>
      <c r="AN1930" s="52"/>
    </row>
    <row r="1931" spans="16:40" x14ac:dyDescent="0.2"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  <c r="AA1931" s="52"/>
      <c r="AB1931" s="52"/>
      <c r="AC1931" s="52"/>
      <c r="AD1931" s="52"/>
      <c r="AE1931" s="52"/>
      <c r="AF1931" s="52"/>
      <c r="AG1931" s="52"/>
      <c r="AH1931" s="52"/>
      <c r="AM1931" s="52"/>
      <c r="AN1931" s="52"/>
    </row>
    <row r="1932" spans="16:40" x14ac:dyDescent="0.2"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  <c r="AA1932" s="52"/>
      <c r="AB1932" s="52"/>
      <c r="AC1932" s="52"/>
      <c r="AD1932" s="52"/>
      <c r="AE1932" s="52"/>
      <c r="AF1932" s="52"/>
      <c r="AG1932" s="52"/>
      <c r="AH1932" s="52"/>
      <c r="AM1932" s="52"/>
      <c r="AN1932" s="52"/>
    </row>
    <row r="1933" spans="16:40" x14ac:dyDescent="0.2"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  <c r="AA1933" s="52"/>
      <c r="AB1933" s="52"/>
      <c r="AC1933" s="52"/>
      <c r="AD1933" s="52"/>
      <c r="AE1933" s="52"/>
      <c r="AF1933" s="52"/>
      <c r="AG1933" s="52"/>
      <c r="AH1933" s="52"/>
      <c r="AM1933" s="52"/>
      <c r="AN1933" s="52"/>
    </row>
    <row r="1934" spans="16:40" x14ac:dyDescent="0.2"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  <c r="AA1934" s="52"/>
      <c r="AB1934" s="52"/>
      <c r="AC1934" s="52"/>
      <c r="AD1934" s="52"/>
      <c r="AE1934" s="52"/>
      <c r="AF1934" s="52"/>
      <c r="AG1934" s="52"/>
      <c r="AH1934" s="52"/>
      <c r="AM1934" s="52"/>
      <c r="AN1934" s="52"/>
    </row>
    <row r="1935" spans="16:40" x14ac:dyDescent="0.2"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  <c r="AA1935" s="52"/>
      <c r="AB1935" s="52"/>
      <c r="AC1935" s="52"/>
      <c r="AD1935" s="52"/>
      <c r="AE1935" s="52"/>
      <c r="AF1935" s="52"/>
      <c r="AG1935" s="52"/>
      <c r="AH1935" s="52"/>
      <c r="AM1935" s="52"/>
      <c r="AN1935" s="52"/>
    </row>
    <row r="1936" spans="16:40" x14ac:dyDescent="0.2"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  <c r="AA1936" s="52"/>
      <c r="AB1936" s="52"/>
      <c r="AC1936" s="52"/>
      <c r="AD1936" s="52"/>
      <c r="AE1936" s="52"/>
      <c r="AF1936" s="52"/>
      <c r="AG1936" s="52"/>
      <c r="AH1936" s="52"/>
      <c r="AM1936" s="52"/>
      <c r="AN1936" s="52"/>
    </row>
    <row r="1937" spans="16:40" x14ac:dyDescent="0.2"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  <c r="AA1937" s="52"/>
      <c r="AB1937" s="52"/>
      <c r="AC1937" s="52"/>
      <c r="AD1937" s="52"/>
      <c r="AE1937" s="52"/>
      <c r="AF1937" s="52"/>
      <c r="AG1937" s="52"/>
      <c r="AH1937" s="52"/>
      <c r="AM1937" s="52"/>
      <c r="AN1937" s="52"/>
    </row>
    <row r="1938" spans="16:40" x14ac:dyDescent="0.2"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  <c r="AA1938" s="52"/>
      <c r="AB1938" s="52"/>
      <c r="AC1938" s="52"/>
      <c r="AD1938" s="52"/>
      <c r="AE1938" s="52"/>
      <c r="AF1938" s="52"/>
      <c r="AG1938" s="52"/>
      <c r="AH1938" s="52"/>
      <c r="AM1938" s="52"/>
      <c r="AN1938" s="52"/>
    </row>
    <row r="1939" spans="16:40" x14ac:dyDescent="0.2"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  <c r="AA1939" s="52"/>
      <c r="AB1939" s="52"/>
      <c r="AC1939" s="52"/>
      <c r="AD1939" s="52"/>
      <c r="AE1939" s="52"/>
      <c r="AF1939" s="52"/>
      <c r="AG1939" s="52"/>
      <c r="AH1939" s="52"/>
      <c r="AM1939" s="52"/>
      <c r="AN1939" s="52"/>
    </row>
    <row r="1940" spans="16:40" x14ac:dyDescent="0.2"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  <c r="AA1940" s="52"/>
      <c r="AB1940" s="52"/>
      <c r="AC1940" s="52"/>
      <c r="AD1940" s="52"/>
      <c r="AE1940" s="52"/>
      <c r="AF1940" s="52"/>
      <c r="AG1940" s="52"/>
      <c r="AH1940" s="52"/>
      <c r="AM1940" s="52"/>
      <c r="AN1940" s="52"/>
    </row>
    <row r="1941" spans="16:40" x14ac:dyDescent="0.2">
      <c r="P1941" s="52"/>
      <c r="Q1941" s="52"/>
      <c r="R1941" s="52"/>
      <c r="S1941" s="52"/>
      <c r="T1941" s="52"/>
      <c r="U1941" s="52"/>
      <c r="V1941" s="52"/>
      <c r="W1941" s="52"/>
      <c r="X1941" s="52"/>
      <c r="Y1941" s="52"/>
      <c r="Z1941" s="52"/>
      <c r="AA1941" s="52"/>
      <c r="AB1941" s="52"/>
      <c r="AC1941" s="52"/>
      <c r="AD1941" s="52"/>
      <c r="AE1941" s="52"/>
      <c r="AF1941" s="52"/>
      <c r="AG1941" s="52"/>
      <c r="AH1941" s="52"/>
      <c r="AM1941" s="52"/>
      <c r="AN1941" s="52"/>
    </row>
    <row r="1942" spans="16:40" x14ac:dyDescent="0.2">
      <c r="P1942" s="52"/>
      <c r="Q1942" s="52"/>
      <c r="R1942" s="52"/>
      <c r="S1942" s="52"/>
      <c r="T1942" s="52"/>
      <c r="U1942" s="52"/>
      <c r="V1942" s="52"/>
      <c r="W1942" s="52"/>
      <c r="X1942" s="52"/>
      <c r="Y1942" s="52"/>
      <c r="Z1942" s="52"/>
      <c r="AA1942" s="52"/>
      <c r="AB1942" s="52"/>
      <c r="AC1942" s="52"/>
      <c r="AD1942" s="52"/>
      <c r="AE1942" s="52"/>
      <c r="AF1942" s="52"/>
      <c r="AG1942" s="52"/>
      <c r="AH1942" s="52"/>
      <c r="AM1942" s="52"/>
      <c r="AN1942" s="52"/>
    </row>
    <row r="1943" spans="16:40" x14ac:dyDescent="0.2">
      <c r="P1943" s="52"/>
      <c r="Q1943" s="52"/>
      <c r="R1943" s="52"/>
      <c r="S1943" s="52"/>
      <c r="T1943" s="52"/>
      <c r="U1943" s="52"/>
      <c r="V1943" s="52"/>
      <c r="W1943" s="52"/>
      <c r="X1943" s="52"/>
      <c r="Y1943" s="52"/>
      <c r="Z1943" s="52"/>
      <c r="AA1943" s="52"/>
      <c r="AB1943" s="52"/>
      <c r="AC1943" s="52"/>
      <c r="AD1943" s="52"/>
      <c r="AE1943" s="52"/>
      <c r="AF1943" s="52"/>
      <c r="AG1943" s="52"/>
      <c r="AH1943" s="52"/>
      <c r="AM1943" s="52"/>
      <c r="AN1943" s="52"/>
    </row>
    <row r="1944" spans="16:40" x14ac:dyDescent="0.2">
      <c r="P1944" s="52"/>
      <c r="Q1944" s="52"/>
      <c r="R1944" s="52"/>
      <c r="S1944" s="52"/>
      <c r="T1944" s="52"/>
      <c r="U1944" s="52"/>
      <c r="V1944" s="52"/>
      <c r="W1944" s="52"/>
      <c r="X1944" s="52"/>
      <c r="Y1944" s="52"/>
      <c r="Z1944" s="52"/>
      <c r="AA1944" s="52"/>
      <c r="AB1944" s="52"/>
      <c r="AC1944" s="52"/>
      <c r="AD1944" s="52"/>
      <c r="AE1944" s="52"/>
      <c r="AF1944" s="52"/>
      <c r="AG1944" s="52"/>
      <c r="AH1944" s="52"/>
      <c r="AM1944" s="52"/>
      <c r="AN1944" s="52"/>
    </row>
    <row r="1945" spans="16:40" x14ac:dyDescent="0.2">
      <c r="P1945" s="52"/>
      <c r="Q1945" s="52"/>
      <c r="R1945" s="52"/>
      <c r="S1945" s="52"/>
      <c r="T1945" s="52"/>
      <c r="U1945" s="52"/>
      <c r="V1945" s="52"/>
      <c r="W1945" s="52"/>
      <c r="X1945" s="52"/>
      <c r="Y1945" s="52"/>
      <c r="Z1945" s="52"/>
      <c r="AA1945" s="52"/>
      <c r="AB1945" s="52"/>
      <c r="AC1945" s="52"/>
      <c r="AD1945" s="52"/>
      <c r="AE1945" s="52"/>
      <c r="AF1945" s="52"/>
      <c r="AG1945" s="52"/>
      <c r="AH1945" s="52"/>
      <c r="AM1945" s="52"/>
      <c r="AN1945" s="52"/>
    </row>
    <row r="1946" spans="16:40" x14ac:dyDescent="0.2">
      <c r="P1946" s="52"/>
      <c r="Q1946" s="52"/>
      <c r="R1946" s="52"/>
      <c r="S1946" s="52"/>
      <c r="T1946" s="52"/>
      <c r="U1946" s="52"/>
      <c r="V1946" s="52"/>
      <c r="W1946" s="52"/>
      <c r="X1946" s="52"/>
      <c r="Y1946" s="52"/>
      <c r="Z1946" s="52"/>
      <c r="AA1946" s="52"/>
      <c r="AB1946" s="52"/>
      <c r="AC1946" s="52"/>
      <c r="AD1946" s="52"/>
      <c r="AE1946" s="52"/>
      <c r="AF1946" s="52"/>
      <c r="AG1946" s="52"/>
      <c r="AH1946" s="52"/>
      <c r="AM1946" s="52"/>
      <c r="AN1946" s="52"/>
    </row>
    <row r="1947" spans="16:40" x14ac:dyDescent="0.2">
      <c r="P1947" s="52"/>
      <c r="Q1947" s="52"/>
      <c r="R1947" s="52"/>
      <c r="S1947" s="52"/>
      <c r="T1947" s="52"/>
      <c r="U1947" s="52"/>
      <c r="V1947" s="52"/>
      <c r="W1947" s="52"/>
      <c r="X1947" s="52"/>
      <c r="Y1947" s="52"/>
      <c r="Z1947" s="52"/>
      <c r="AA1947" s="52"/>
      <c r="AB1947" s="52"/>
      <c r="AC1947" s="52"/>
      <c r="AD1947" s="52"/>
      <c r="AE1947" s="52"/>
      <c r="AF1947" s="52"/>
      <c r="AG1947" s="52"/>
      <c r="AH1947" s="52"/>
      <c r="AM1947" s="52"/>
      <c r="AN1947" s="52"/>
    </row>
    <row r="1948" spans="16:40" x14ac:dyDescent="0.2">
      <c r="P1948" s="52"/>
      <c r="Q1948" s="52"/>
      <c r="R1948" s="52"/>
      <c r="S1948" s="52"/>
      <c r="T1948" s="52"/>
      <c r="U1948" s="52"/>
      <c r="V1948" s="52"/>
      <c r="W1948" s="52"/>
      <c r="X1948" s="52"/>
      <c r="Y1948" s="52"/>
      <c r="Z1948" s="52"/>
      <c r="AA1948" s="52"/>
      <c r="AB1948" s="52"/>
      <c r="AC1948" s="52"/>
      <c r="AD1948" s="52"/>
      <c r="AE1948" s="52"/>
      <c r="AF1948" s="52"/>
      <c r="AG1948" s="52"/>
      <c r="AH1948" s="52"/>
      <c r="AM1948" s="52"/>
      <c r="AN1948" s="52"/>
    </row>
    <row r="1949" spans="16:40" x14ac:dyDescent="0.2">
      <c r="P1949" s="52"/>
      <c r="Q1949" s="52"/>
      <c r="R1949" s="52"/>
      <c r="S1949" s="52"/>
      <c r="T1949" s="52"/>
      <c r="U1949" s="52"/>
      <c r="V1949" s="52"/>
      <c r="W1949" s="52"/>
      <c r="X1949" s="52"/>
      <c r="Y1949" s="52"/>
      <c r="Z1949" s="52"/>
      <c r="AA1949" s="52"/>
      <c r="AB1949" s="52"/>
      <c r="AC1949" s="52"/>
      <c r="AD1949" s="52"/>
      <c r="AE1949" s="52"/>
      <c r="AF1949" s="52"/>
      <c r="AG1949" s="52"/>
      <c r="AH1949" s="52"/>
      <c r="AM1949" s="52"/>
      <c r="AN1949" s="52"/>
    </row>
    <row r="1950" spans="16:40" x14ac:dyDescent="0.2">
      <c r="P1950" s="52"/>
      <c r="Q1950" s="52"/>
      <c r="R1950" s="52"/>
      <c r="S1950" s="52"/>
      <c r="T1950" s="52"/>
      <c r="U1950" s="52"/>
      <c r="V1950" s="52"/>
      <c r="W1950" s="52"/>
      <c r="X1950" s="52"/>
      <c r="Y1950" s="52"/>
      <c r="Z1950" s="52"/>
      <c r="AA1950" s="52"/>
      <c r="AB1950" s="52"/>
      <c r="AC1950" s="52"/>
      <c r="AD1950" s="52"/>
      <c r="AE1950" s="52"/>
      <c r="AF1950" s="52"/>
      <c r="AG1950" s="52"/>
      <c r="AH1950" s="52"/>
      <c r="AM1950" s="52"/>
      <c r="AN1950" s="52"/>
    </row>
    <row r="1951" spans="16:40" x14ac:dyDescent="0.2">
      <c r="P1951" s="52"/>
      <c r="Q1951" s="52"/>
      <c r="R1951" s="52"/>
      <c r="S1951" s="52"/>
      <c r="T1951" s="52"/>
      <c r="U1951" s="52"/>
      <c r="V1951" s="52"/>
      <c r="W1951" s="52"/>
      <c r="X1951" s="52"/>
      <c r="Y1951" s="52"/>
      <c r="Z1951" s="52"/>
      <c r="AA1951" s="52"/>
      <c r="AB1951" s="52"/>
      <c r="AC1951" s="52"/>
      <c r="AD1951" s="52"/>
      <c r="AE1951" s="52"/>
      <c r="AF1951" s="52"/>
      <c r="AG1951" s="52"/>
      <c r="AH1951" s="52"/>
      <c r="AM1951" s="52"/>
      <c r="AN1951" s="52"/>
    </row>
    <row r="1952" spans="16:40" x14ac:dyDescent="0.2">
      <c r="P1952" s="52"/>
      <c r="Q1952" s="52"/>
      <c r="R1952" s="52"/>
      <c r="S1952" s="52"/>
      <c r="T1952" s="52"/>
      <c r="U1952" s="52"/>
      <c r="V1952" s="52"/>
      <c r="W1952" s="52"/>
      <c r="X1952" s="52"/>
      <c r="Y1952" s="52"/>
      <c r="Z1952" s="52"/>
      <c r="AA1952" s="52"/>
      <c r="AB1952" s="52"/>
      <c r="AC1952" s="52"/>
      <c r="AD1952" s="52"/>
      <c r="AE1952" s="52"/>
      <c r="AF1952" s="52"/>
      <c r="AG1952" s="52"/>
      <c r="AH1952" s="52"/>
      <c r="AM1952" s="52"/>
      <c r="AN1952" s="52"/>
    </row>
    <row r="1953" spans="16:40" x14ac:dyDescent="0.2">
      <c r="P1953" s="52"/>
      <c r="Q1953" s="52"/>
      <c r="R1953" s="52"/>
      <c r="S1953" s="52"/>
      <c r="T1953" s="52"/>
      <c r="U1953" s="52"/>
      <c r="V1953" s="52"/>
      <c r="W1953" s="52"/>
      <c r="X1953" s="52"/>
      <c r="Y1953" s="52"/>
      <c r="Z1953" s="52"/>
      <c r="AA1953" s="52"/>
      <c r="AB1953" s="52"/>
      <c r="AC1953" s="52"/>
      <c r="AD1953" s="52"/>
      <c r="AE1953" s="52"/>
      <c r="AF1953" s="52"/>
      <c r="AG1953" s="52"/>
      <c r="AH1953" s="52"/>
      <c r="AM1953" s="52"/>
      <c r="AN1953" s="52"/>
    </row>
    <row r="1954" spans="16:40" x14ac:dyDescent="0.2">
      <c r="P1954" s="52"/>
      <c r="Q1954" s="52"/>
      <c r="R1954" s="52"/>
      <c r="S1954" s="52"/>
      <c r="T1954" s="52"/>
      <c r="U1954" s="52"/>
      <c r="V1954" s="52"/>
      <c r="W1954" s="52"/>
      <c r="X1954" s="52"/>
      <c r="Y1954" s="52"/>
      <c r="Z1954" s="52"/>
      <c r="AA1954" s="52"/>
      <c r="AB1954" s="52"/>
      <c r="AC1954" s="52"/>
      <c r="AD1954" s="52"/>
      <c r="AE1954" s="52"/>
      <c r="AF1954" s="52"/>
      <c r="AG1954" s="52"/>
      <c r="AH1954" s="52"/>
      <c r="AM1954" s="52"/>
      <c r="AN1954" s="52"/>
    </row>
    <row r="1955" spans="16:40" x14ac:dyDescent="0.2">
      <c r="P1955" s="52"/>
      <c r="Q1955" s="52"/>
      <c r="R1955" s="52"/>
      <c r="S1955" s="52"/>
      <c r="T1955" s="52"/>
      <c r="U1955" s="52"/>
      <c r="V1955" s="52"/>
      <c r="W1955" s="52"/>
      <c r="X1955" s="52"/>
      <c r="Y1955" s="52"/>
      <c r="Z1955" s="52"/>
      <c r="AA1955" s="52"/>
      <c r="AB1955" s="52"/>
      <c r="AC1955" s="52"/>
      <c r="AD1955" s="52"/>
      <c r="AE1955" s="52"/>
      <c r="AF1955" s="52"/>
      <c r="AG1955" s="52"/>
      <c r="AH1955" s="52"/>
      <c r="AM1955" s="52"/>
      <c r="AN1955" s="52"/>
    </row>
    <row r="1956" spans="16:40" x14ac:dyDescent="0.2">
      <c r="P1956" s="52"/>
      <c r="Q1956" s="52"/>
      <c r="R1956" s="52"/>
      <c r="S1956" s="52"/>
      <c r="T1956" s="52"/>
      <c r="U1956" s="52"/>
      <c r="V1956" s="52"/>
      <c r="W1956" s="52"/>
      <c r="X1956" s="52"/>
      <c r="Y1956" s="52"/>
      <c r="Z1956" s="52"/>
      <c r="AA1956" s="52"/>
      <c r="AB1956" s="52"/>
      <c r="AC1956" s="52"/>
      <c r="AD1956" s="52"/>
      <c r="AE1956" s="52"/>
      <c r="AF1956" s="52"/>
      <c r="AG1956" s="52"/>
      <c r="AH1956" s="52"/>
      <c r="AM1956" s="52"/>
      <c r="AN1956" s="52"/>
    </row>
    <row r="1957" spans="16:40" x14ac:dyDescent="0.2">
      <c r="P1957" s="52"/>
      <c r="Q1957" s="52"/>
      <c r="R1957" s="52"/>
      <c r="S1957" s="52"/>
      <c r="T1957" s="52"/>
      <c r="U1957" s="52"/>
      <c r="V1957" s="52"/>
      <c r="W1957" s="52"/>
      <c r="X1957" s="52"/>
      <c r="Y1957" s="52"/>
      <c r="Z1957" s="52"/>
      <c r="AA1957" s="52"/>
      <c r="AB1957" s="52"/>
      <c r="AC1957" s="52"/>
      <c r="AD1957" s="52"/>
      <c r="AE1957" s="52"/>
      <c r="AF1957" s="52"/>
      <c r="AG1957" s="52"/>
      <c r="AH1957" s="52"/>
      <c r="AM1957" s="52"/>
      <c r="AN1957" s="52"/>
    </row>
    <row r="1958" spans="16:40" x14ac:dyDescent="0.2">
      <c r="P1958" s="52"/>
      <c r="Q1958" s="52"/>
      <c r="R1958" s="52"/>
      <c r="S1958" s="52"/>
      <c r="T1958" s="52"/>
      <c r="U1958" s="52"/>
      <c r="V1958" s="52"/>
      <c r="W1958" s="52"/>
      <c r="X1958" s="52"/>
      <c r="Y1958" s="52"/>
      <c r="Z1958" s="52"/>
      <c r="AA1958" s="52"/>
      <c r="AB1958" s="52"/>
      <c r="AC1958" s="52"/>
      <c r="AD1958" s="52"/>
      <c r="AE1958" s="52"/>
      <c r="AF1958" s="52"/>
      <c r="AG1958" s="52"/>
      <c r="AH1958" s="52"/>
      <c r="AM1958" s="52"/>
      <c r="AN1958" s="52"/>
    </row>
    <row r="1959" spans="16:40" x14ac:dyDescent="0.2">
      <c r="P1959" s="52"/>
      <c r="Q1959" s="52"/>
      <c r="R1959" s="52"/>
      <c r="S1959" s="52"/>
      <c r="T1959" s="52"/>
      <c r="U1959" s="52"/>
      <c r="V1959" s="52"/>
      <c r="W1959" s="52"/>
      <c r="X1959" s="52"/>
      <c r="Y1959" s="52"/>
      <c r="Z1959" s="52"/>
      <c r="AA1959" s="52"/>
      <c r="AB1959" s="52"/>
      <c r="AC1959" s="52"/>
      <c r="AD1959" s="52"/>
      <c r="AE1959" s="52"/>
      <c r="AF1959" s="52"/>
      <c r="AG1959" s="52"/>
      <c r="AH1959" s="52"/>
      <c r="AM1959" s="52"/>
      <c r="AN1959" s="52"/>
    </row>
    <row r="1960" spans="16:40" x14ac:dyDescent="0.2"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2"/>
      <c r="AA1960" s="52"/>
      <c r="AB1960" s="52"/>
      <c r="AC1960" s="52"/>
      <c r="AD1960" s="52"/>
      <c r="AE1960" s="52"/>
      <c r="AF1960" s="52"/>
      <c r="AG1960" s="52"/>
      <c r="AH1960" s="52"/>
      <c r="AM1960" s="52"/>
      <c r="AN1960" s="52"/>
    </row>
    <row r="1961" spans="16:40" x14ac:dyDescent="0.2">
      <c r="P1961" s="52"/>
      <c r="Q1961" s="52"/>
      <c r="R1961" s="52"/>
      <c r="S1961" s="52"/>
      <c r="T1961" s="52"/>
      <c r="U1961" s="52"/>
      <c r="V1961" s="52"/>
      <c r="W1961" s="52"/>
      <c r="X1961" s="52"/>
      <c r="Y1961" s="52"/>
      <c r="Z1961" s="52"/>
      <c r="AA1961" s="52"/>
      <c r="AB1961" s="52"/>
      <c r="AC1961" s="52"/>
      <c r="AD1961" s="52"/>
      <c r="AE1961" s="52"/>
      <c r="AF1961" s="52"/>
      <c r="AG1961" s="52"/>
      <c r="AH1961" s="52"/>
      <c r="AM1961" s="52"/>
      <c r="AN1961" s="52"/>
    </row>
    <row r="1962" spans="16:40" x14ac:dyDescent="0.2">
      <c r="P1962" s="52"/>
      <c r="Q1962" s="52"/>
      <c r="R1962" s="52"/>
      <c r="S1962" s="52"/>
      <c r="T1962" s="52"/>
      <c r="U1962" s="52"/>
      <c r="V1962" s="52"/>
      <c r="W1962" s="52"/>
      <c r="X1962" s="52"/>
      <c r="Y1962" s="52"/>
      <c r="Z1962" s="52"/>
      <c r="AA1962" s="52"/>
      <c r="AB1962" s="52"/>
      <c r="AC1962" s="52"/>
      <c r="AD1962" s="52"/>
      <c r="AE1962" s="52"/>
      <c r="AF1962" s="52"/>
      <c r="AG1962" s="52"/>
      <c r="AH1962" s="52"/>
      <c r="AM1962" s="52"/>
      <c r="AN1962" s="52"/>
    </row>
    <row r="1963" spans="16:40" x14ac:dyDescent="0.2">
      <c r="P1963" s="52"/>
      <c r="Q1963" s="52"/>
      <c r="R1963" s="52"/>
      <c r="S1963" s="52"/>
      <c r="T1963" s="52"/>
      <c r="U1963" s="52"/>
      <c r="V1963" s="52"/>
      <c r="W1963" s="52"/>
      <c r="X1963" s="52"/>
      <c r="Y1963" s="52"/>
      <c r="Z1963" s="52"/>
      <c r="AA1963" s="52"/>
      <c r="AB1963" s="52"/>
      <c r="AC1963" s="52"/>
      <c r="AD1963" s="52"/>
      <c r="AE1963" s="52"/>
      <c r="AF1963" s="52"/>
      <c r="AG1963" s="52"/>
      <c r="AH1963" s="52"/>
      <c r="AM1963" s="52"/>
      <c r="AN1963" s="52"/>
    </row>
    <row r="1964" spans="16:40" x14ac:dyDescent="0.2">
      <c r="P1964" s="52"/>
      <c r="Q1964" s="52"/>
      <c r="R1964" s="52"/>
      <c r="S1964" s="52"/>
      <c r="T1964" s="52"/>
      <c r="U1964" s="52"/>
      <c r="V1964" s="52"/>
      <c r="W1964" s="52"/>
      <c r="X1964" s="52"/>
      <c r="Y1964" s="52"/>
      <c r="Z1964" s="52"/>
      <c r="AA1964" s="52"/>
      <c r="AB1964" s="52"/>
      <c r="AC1964" s="52"/>
      <c r="AD1964" s="52"/>
      <c r="AE1964" s="52"/>
      <c r="AF1964" s="52"/>
      <c r="AG1964" s="52"/>
      <c r="AH1964" s="52"/>
      <c r="AM1964" s="52"/>
      <c r="AN1964" s="52"/>
    </row>
    <row r="1965" spans="16:40" x14ac:dyDescent="0.2">
      <c r="P1965" s="52"/>
      <c r="Q1965" s="52"/>
      <c r="R1965" s="52"/>
      <c r="S1965" s="52"/>
      <c r="T1965" s="52"/>
      <c r="U1965" s="52"/>
      <c r="V1965" s="52"/>
      <c r="W1965" s="52"/>
      <c r="X1965" s="52"/>
      <c r="Y1965" s="52"/>
      <c r="Z1965" s="52"/>
      <c r="AA1965" s="52"/>
      <c r="AB1965" s="52"/>
      <c r="AC1965" s="52"/>
      <c r="AD1965" s="52"/>
      <c r="AE1965" s="52"/>
      <c r="AF1965" s="52"/>
      <c r="AG1965" s="52"/>
      <c r="AH1965" s="52"/>
      <c r="AM1965" s="52"/>
      <c r="AN1965" s="52"/>
    </row>
    <row r="1966" spans="16:40" x14ac:dyDescent="0.2">
      <c r="P1966" s="52"/>
      <c r="Q1966" s="52"/>
      <c r="R1966" s="52"/>
      <c r="S1966" s="52"/>
      <c r="T1966" s="52"/>
      <c r="U1966" s="52"/>
      <c r="V1966" s="52"/>
      <c r="W1966" s="52"/>
      <c r="X1966" s="52"/>
      <c r="Y1966" s="52"/>
      <c r="Z1966" s="52"/>
      <c r="AA1966" s="52"/>
      <c r="AB1966" s="52"/>
      <c r="AC1966" s="52"/>
      <c r="AD1966" s="52"/>
      <c r="AE1966" s="52"/>
      <c r="AF1966" s="52"/>
      <c r="AG1966" s="52"/>
      <c r="AH1966" s="52"/>
      <c r="AM1966" s="52"/>
      <c r="AN1966" s="52"/>
    </row>
    <row r="1967" spans="16:40" x14ac:dyDescent="0.2">
      <c r="P1967" s="52"/>
      <c r="Q1967" s="52"/>
      <c r="R1967" s="52"/>
      <c r="S1967" s="52"/>
      <c r="T1967" s="52"/>
      <c r="U1967" s="52"/>
      <c r="V1967" s="52"/>
      <c r="W1967" s="52"/>
      <c r="X1967" s="52"/>
      <c r="Y1967" s="52"/>
      <c r="Z1967" s="52"/>
      <c r="AA1967" s="52"/>
      <c r="AB1967" s="52"/>
      <c r="AC1967" s="52"/>
      <c r="AD1967" s="52"/>
      <c r="AE1967" s="52"/>
      <c r="AF1967" s="52"/>
      <c r="AG1967" s="52"/>
      <c r="AH1967" s="52"/>
      <c r="AM1967" s="52"/>
      <c r="AN1967" s="52"/>
    </row>
    <row r="1968" spans="16:40" x14ac:dyDescent="0.2">
      <c r="P1968" s="52"/>
      <c r="Q1968" s="52"/>
      <c r="R1968" s="52"/>
      <c r="S1968" s="52"/>
      <c r="T1968" s="52"/>
      <c r="U1968" s="52"/>
      <c r="V1968" s="52"/>
      <c r="W1968" s="52"/>
      <c r="X1968" s="52"/>
      <c r="Y1968" s="52"/>
      <c r="Z1968" s="52"/>
      <c r="AA1968" s="52"/>
      <c r="AB1968" s="52"/>
      <c r="AC1968" s="52"/>
      <c r="AD1968" s="52"/>
      <c r="AE1968" s="52"/>
      <c r="AF1968" s="52"/>
      <c r="AG1968" s="52"/>
      <c r="AH1968" s="52"/>
      <c r="AM1968" s="52"/>
      <c r="AN1968" s="52"/>
    </row>
    <row r="1969" spans="16:40" x14ac:dyDescent="0.2">
      <c r="P1969" s="52"/>
      <c r="Q1969" s="52"/>
      <c r="R1969" s="52"/>
      <c r="S1969" s="52"/>
      <c r="T1969" s="52"/>
      <c r="U1969" s="52"/>
      <c r="V1969" s="52"/>
      <c r="W1969" s="52"/>
      <c r="X1969" s="52"/>
      <c r="Y1969" s="52"/>
      <c r="Z1969" s="52"/>
      <c r="AA1969" s="52"/>
      <c r="AB1969" s="52"/>
      <c r="AC1969" s="52"/>
      <c r="AD1969" s="52"/>
      <c r="AE1969" s="52"/>
      <c r="AF1969" s="52"/>
      <c r="AG1969" s="52"/>
      <c r="AH1969" s="52"/>
      <c r="AM1969" s="52"/>
      <c r="AN1969" s="52"/>
    </row>
    <row r="1970" spans="16:40" x14ac:dyDescent="0.2">
      <c r="P1970" s="52"/>
      <c r="Q1970" s="52"/>
      <c r="R1970" s="52"/>
      <c r="S1970" s="52"/>
      <c r="T1970" s="52"/>
      <c r="U1970" s="52"/>
      <c r="V1970" s="52"/>
      <c r="W1970" s="52"/>
      <c r="X1970" s="52"/>
      <c r="Y1970" s="52"/>
      <c r="Z1970" s="52"/>
      <c r="AA1970" s="52"/>
      <c r="AB1970" s="52"/>
      <c r="AC1970" s="52"/>
      <c r="AD1970" s="52"/>
      <c r="AE1970" s="52"/>
      <c r="AF1970" s="52"/>
      <c r="AG1970" s="52"/>
      <c r="AH1970" s="52"/>
      <c r="AM1970" s="52"/>
      <c r="AN1970" s="52"/>
    </row>
    <row r="1971" spans="16:40" x14ac:dyDescent="0.2">
      <c r="P1971" s="52"/>
      <c r="Q1971" s="52"/>
      <c r="R1971" s="52"/>
      <c r="S1971" s="52"/>
      <c r="T1971" s="52"/>
      <c r="U1971" s="52"/>
      <c r="V1971" s="52"/>
      <c r="W1971" s="52"/>
      <c r="X1971" s="52"/>
      <c r="Y1971" s="52"/>
      <c r="Z1971" s="52"/>
      <c r="AA1971" s="52"/>
      <c r="AB1971" s="52"/>
      <c r="AC1971" s="52"/>
      <c r="AD1971" s="52"/>
      <c r="AE1971" s="52"/>
      <c r="AF1971" s="52"/>
      <c r="AG1971" s="52"/>
      <c r="AH1971" s="52"/>
      <c r="AM1971" s="52"/>
      <c r="AN1971" s="52"/>
    </row>
    <row r="1972" spans="16:40" x14ac:dyDescent="0.2">
      <c r="P1972" s="52"/>
      <c r="Q1972" s="52"/>
      <c r="R1972" s="52"/>
      <c r="S1972" s="52"/>
      <c r="T1972" s="52"/>
      <c r="U1972" s="52"/>
      <c r="V1972" s="52"/>
      <c r="W1972" s="52"/>
      <c r="X1972" s="52"/>
      <c r="Y1972" s="52"/>
      <c r="Z1972" s="52"/>
      <c r="AA1972" s="52"/>
      <c r="AB1972" s="52"/>
      <c r="AC1972" s="52"/>
      <c r="AD1972" s="52"/>
      <c r="AE1972" s="52"/>
      <c r="AF1972" s="52"/>
      <c r="AG1972" s="52"/>
      <c r="AH1972" s="52"/>
      <c r="AM1972" s="52"/>
      <c r="AN1972" s="52"/>
    </row>
    <row r="1973" spans="16:40" x14ac:dyDescent="0.2">
      <c r="P1973" s="52"/>
      <c r="Q1973" s="52"/>
      <c r="R1973" s="52"/>
      <c r="S1973" s="52"/>
      <c r="T1973" s="52"/>
      <c r="U1973" s="52"/>
      <c r="V1973" s="52"/>
      <c r="W1973" s="52"/>
      <c r="X1973" s="52"/>
      <c r="Y1973" s="52"/>
      <c r="Z1973" s="52"/>
      <c r="AA1973" s="52"/>
      <c r="AB1973" s="52"/>
      <c r="AC1973" s="52"/>
      <c r="AD1973" s="52"/>
      <c r="AE1973" s="52"/>
      <c r="AF1973" s="52"/>
      <c r="AG1973" s="52"/>
      <c r="AH1973" s="52"/>
      <c r="AM1973" s="52"/>
      <c r="AN1973" s="52"/>
    </row>
    <row r="1974" spans="16:40" x14ac:dyDescent="0.2">
      <c r="P1974" s="52"/>
      <c r="Q1974" s="52"/>
      <c r="R1974" s="52"/>
      <c r="S1974" s="52"/>
      <c r="T1974" s="52"/>
      <c r="U1974" s="52"/>
      <c r="V1974" s="52"/>
      <c r="W1974" s="52"/>
      <c r="X1974" s="52"/>
      <c r="Y1974" s="52"/>
      <c r="Z1974" s="52"/>
      <c r="AA1974" s="52"/>
      <c r="AB1974" s="52"/>
      <c r="AC1974" s="52"/>
      <c r="AD1974" s="52"/>
      <c r="AE1974" s="52"/>
      <c r="AF1974" s="52"/>
      <c r="AG1974" s="52"/>
      <c r="AH1974" s="52"/>
      <c r="AM1974" s="52"/>
      <c r="AN1974" s="52"/>
    </row>
    <row r="1975" spans="16:40" x14ac:dyDescent="0.2">
      <c r="P1975" s="52"/>
      <c r="Q1975" s="52"/>
      <c r="R1975" s="52"/>
      <c r="S1975" s="52"/>
      <c r="T1975" s="52"/>
      <c r="U1975" s="52"/>
      <c r="V1975" s="52"/>
      <c r="W1975" s="52"/>
      <c r="X1975" s="52"/>
      <c r="Y1975" s="52"/>
      <c r="Z1975" s="52"/>
      <c r="AA1975" s="52"/>
      <c r="AB1975" s="52"/>
      <c r="AC1975" s="52"/>
      <c r="AD1975" s="52"/>
      <c r="AE1975" s="52"/>
      <c r="AF1975" s="52"/>
      <c r="AG1975" s="52"/>
      <c r="AH1975" s="52"/>
      <c r="AM1975" s="52"/>
      <c r="AN1975" s="52"/>
    </row>
    <row r="1976" spans="16:40" x14ac:dyDescent="0.2">
      <c r="P1976" s="52"/>
      <c r="Q1976" s="52"/>
      <c r="R1976" s="52"/>
      <c r="S1976" s="52"/>
      <c r="T1976" s="52"/>
      <c r="U1976" s="52"/>
      <c r="V1976" s="52"/>
      <c r="W1976" s="52"/>
      <c r="X1976" s="52"/>
      <c r="Y1976" s="52"/>
      <c r="Z1976" s="52"/>
      <c r="AA1976" s="52"/>
      <c r="AB1976" s="52"/>
      <c r="AC1976" s="52"/>
      <c r="AD1976" s="52"/>
      <c r="AE1976" s="52"/>
      <c r="AF1976" s="52"/>
      <c r="AG1976" s="52"/>
      <c r="AH1976" s="52"/>
      <c r="AM1976" s="52"/>
      <c r="AN1976" s="52"/>
    </row>
    <row r="1977" spans="16:40" x14ac:dyDescent="0.2">
      <c r="P1977" s="52"/>
      <c r="Q1977" s="52"/>
      <c r="R1977" s="52"/>
      <c r="S1977" s="52"/>
      <c r="T1977" s="52"/>
      <c r="U1977" s="52"/>
      <c r="V1977" s="52"/>
      <c r="W1977" s="52"/>
      <c r="X1977" s="52"/>
      <c r="Y1977" s="52"/>
      <c r="Z1977" s="52"/>
      <c r="AA1977" s="52"/>
      <c r="AB1977" s="52"/>
      <c r="AC1977" s="52"/>
      <c r="AD1977" s="52"/>
      <c r="AE1977" s="52"/>
      <c r="AF1977" s="52"/>
      <c r="AG1977" s="52"/>
      <c r="AH1977" s="52"/>
      <c r="AM1977" s="52"/>
      <c r="AN1977" s="52"/>
    </row>
    <row r="1978" spans="16:40" x14ac:dyDescent="0.2">
      <c r="P1978" s="52"/>
      <c r="Q1978" s="52"/>
      <c r="R1978" s="52"/>
      <c r="S1978" s="52"/>
      <c r="T1978" s="52"/>
      <c r="U1978" s="52"/>
      <c r="V1978" s="52"/>
      <c r="W1978" s="52"/>
      <c r="X1978" s="52"/>
      <c r="Y1978" s="52"/>
      <c r="Z1978" s="52"/>
      <c r="AA1978" s="52"/>
      <c r="AB1978" s="52"/>
      <c r="AC1978" s="52"/>
      <c r="AD1978" s="52"/>
      <c r="AE1978" s="52"/>
      <c r="AF1978" s="52"/>
      <c r="AG1978" s="52"/>
      <c r="AH1978" s="52"/>
      <c r="AM1978" s="52"/>
      <c r="AN1978" s="52"/>
    </row>
    <row r="1979" spans="16:40" x14ac:dyDescent="0.2">
      <c r="P1979" s="52"/>
      <c r="Q1979" s="52"/>
      <c r="R1979" s="52"/>
      <c r="S1979" s="52"/>
      <c r="T1979" s="52"/>
      <c r="U1979" s="52"/>
      <c r="V1979" s="52"/>
      <c r="W1979" s="52"/>
      <c r="X1979" s="52"/>
      <c r="Y1979" s="52"/>
      <c r="Z1979" s="52"/>
      <c r="AA1979" s="52"/>
      <c r="AB1979" s="52"/>
      <c r="AC1979" s="52"/>
      <c r="AD1979" s="52"/>
      <c r="AE1979" s="52"/>
      <c r="AF1979" s="52"/>
      <c r="AG1979" s="52"/>
      <c r="AH1979" s="52"/>
      <c r="AM1979" s="52"/>
      <c r="AN1979" s="52"/>
    </row>
    <row r="1980" spans="16:40" x14ac:dyDescent="0.2">
      <c r="P1980" s="52"/>
      <c r="Q1980" s="52"/>
      <c r="R1980" s="52"/>
      <c r="S1980" s="52"/>
      <c r="T1980" s="52"/>
      <c r="U1980" s="52"/>
      <c r="V1980" s="52"/>
      <c r="W1980" s="52"/>
      <c r="X1980" s="52"/>
      <c r="Y1980" s="52"/>
      <c r="Z1980" s="52"/>
      <c r="AA1980" s="52"/>
      <c r="AB1980" s="52"/>
      <c r="AC1980" s="52"/>
      <c r="AD1980" s="52"/>
      <c r="AE1980" s="52"/>
      <c r="AF1980" s="52"/>
      <c r="AG1980" s="52"/>
      <c r="AH1980" s="52"/>
      <c r="AM1980" s="52"/>
      <c r="AN1980" s="52"/>
    </row>
    <row r="1981" spans="16:40" x14ac:dyDescent="0.2">
      <c r="P1981" s="52"/>
      <c r="Q1981" s="52"/>
      <c r="R1981" s="52"/>
      <c r="S1981" s="52"/>
      <c r="T1981" s="52"/>
      <c r="U1981" s="52"/>
      <c r="V1981" s="52"/>
      <c r="W1981" s="52"/>
      <c r="X1981" s="52"/>
      <c r="Y1981" s="52"/>
      <c r="Z1981" s="52"/>
      <c r="AA1981" s="52"/>
      <c r="AB1981" s="52"/>
      <c r="AC1981" s="52"/>
      <c r="AD1981" s="52"/>
      <c r="AE1981" s="52"/>
      <c r="AF1981" s="52"/>
      <c r="AG1981" s="52"/>
      <c r="AH1981" s="52"/>
      <c r="AM1981" s="52"/>
      <c r="AN1981" s="52"/>
    </row>
    <row r="1982" spans="16:40" x14ac:dyDescent="0.2">
      <c r="P1982" s="52"/>
      <c r="Q1982" s="52"/>
      <c r="R1982" s="52"/>
      <c r="S1982" s="52"/>
      <c r="T1982" s="52"/>
      <c r="U1982" s="52"/>
      <c r="V1982" s="52"/>
      <c r="W1982" s="52"/>
      <c r="X1982" s="52"/>
      <c r="Y1982" s="52"/>
      <c r="Z1982" s="52"/>
      <c r="AA1982" s="52"/>
      <c r="AB1982" s="52"/>
      <c r="AC1982" s="52"/>
      <c r="AD1982" s="52"/>
      <c r="AE1982" s="52"/>
      <c r="AF1982" s="52"/>
      <c r="AG1982" s="52"/>
      <c r="AH1982" s="52"/>
      <c r="AM1982" s="52"/>
      <c r="AN1982" s="52"/>
    </row>
    <row r="1983" spans="16:40" x14ac:dyDescent="0.2">
      <c r="P1983" s="52"/>
      <c r="Q1983" s="52"/>
      <c r="R1983" s="52"/>
      <c r="S1983" s="52"/>
      <c r="T1983" s="52"/>
      <c r="U1983" s="52"/>
      <c r="V1983" s="52"/>
      <c r="W1983" s="52"/>
      <c r="X1983" s="52"/>
      <c r="Y1983" s="52"/>
      <c r="Z1983" s="52"/>
      <c r="AA1983" s="52"/>
      <c r="AB1983" s="52"/>
      <c r="AC1983" s="52"/>
      <c r="AD1983" s="52"/>
      <c r="AE1983" s="52"/>
      <c r="AF1983" s="52"/>
      <c r="AG1983" s="52"/>
      <c r="AH1983" s="52"/>
      <c r="AM1983" s="52"/>
      <c r="AN1983" s="52"/>
    </row>
    <row r="1984" spans="16:40" x14ac:dyDescent="0.2">
      <c r="P1984" s="52"/>
      <c r="Q1984" s="52"/>
      <c r="R1984" s="52"/>
      <c r="S1984" s="52"/>
      <c r="T1984" s="52"/>
      <c r="U1984" s="52"/>
      <c r="V1984" s="52"/>
      <c r="W1984" s="52"/>
      <c r="X1984" s="52"/>
      <c r="Y1984" s="52"/>
      <c r="Z1984" s="52"/>
      <c r="AA1984" s="52"/>
      <c r="AB1984" s="52"/>
      <c r="AC1984" s="52"/>
      <c r="AD1984" s="52"/>
      <c r="AE1984" s="52"/>
      <c r="AF1984" s="52"/>
      <c r="AG1984" s="52"/>
      <c r="AH1984" s="52"/>
      <c r="AM1984" s="52"/>
      <c r="AN1984" s="52"/>
    </row>
    <row r="1985" spans="16:40" x14ac:dyDescent="0.2">
      <c r="P1985" s="52"/>
      <c r="Q1985" s="52"/>
      <c r="R1985" s="52"/>
      <c r="S1985" s="52"/>
      <c r="T1985" s="52"/>
      <c r="U1985" s="52"/>
      <c r="V1985" s="52"/>
      <c r="W1985" s="52"/>
      <c r="X1985" s="52"/>
      <c r="Y1985" s="52"/>
      <c r="Z1985" s="52"/>
      <c r="AA1985" s="52"/>
      <c r="AB1985" s="52"/>
      <c r="AC1985" s="52"/>
      <c r="AD1985" s="52"/>
      <c r="AE1985" s="52"/>
      <c r="AF1985" s="52"/>
      <c r="AG1985" s="52"/>
      <c r="AH1985" s="52"/>
      <c r="AM1985" s="52"/>
      <c r="AN1985" s="52"/>
    </row>
    <row r="1986" spans="16:40" x14ac:dyDescent="0.2">
      <c r="P1986" s="52"/>
      <c r="Q1986" s="52"/>
      <c r="R1986" s="52"/>
      <c r="S1986" s="52"/>
      <c r="T1986" s="52"/>
      <c r="U1986" s="52"/>
      <c r="V1986" s="52"/>
      <c r="W1986" s="52"/>
      <c r="X1986" s="52"/>
      <c r="Y1986" s="52"/>
      <c r="Z1986" s="52"/>
      <c r="AA1986" s="52"/>
      <c r="AB1986" s="52"/>
      <c r="AC1986" s="52"/>
      <c r="AD1986" s="52"/>
      <c r="AE1986" s="52"/>
      <c r="AF1986" s="52"/>
      <c r="AG1986" s="52"/>
      <c r="AH1986" s="52"/>
      <c r="AM1986" s="52"/>
      <c r="AN1986" s="52"/>
    </row>
    <row r="1987" spans="16:40" x14ac:dyDescent="0.2">
      <c r="P1987" s="52"/>
      <c r="Q1987" s="52"/>
      <c r="R1987" s="52"/>
      <c r="S1987" s="52"/>
      <c r="T1987" s="52"/>
      <c r="U1987" s="52"/>
      <c r="V1987" s="52"/>
      <c r="W1987" s="52"/>
      <c r="X1987" s="52"/>
      <c r="Y1987" s="52"/>
      <c r="Z1987" s="52"/>
      <c r="AA1987" s="52"/>
      <c r="AB1987" s="52"/>
      <c r="AC1987" s="52"/>
      <c r="AD1987" s="52"/>
      <c r="AE1987" s="52"/>
      <c r="AF1987" s="52"/>
      <c r="AG1987" s="52"/>
      <c r="AH1987" s="52"/>
      <c r="AM1987" s="52"/>
      <c r="AN1987" s="52"/>
    </row>
    <row r="1988" spans="16:40" x14ac:dyDescent="0.2">
      <c r="P1988" s="52"/>
      <c r="Q1988" s="52"/>
      <c r="R1988" s="52"/>
      <c r="S1988" s="52"/>
      <c r="T1988" s="52"/>
      <c r="U1988" s="52"/>
      <c r="V1988" s="52"/>
      <c r="W1988" s="52"/>
      <c r="X1988" s="52"/>
      <c r="Y1988" s="52"/>
      <c r="Z1988" s="52"/>
      <c r="AA1988" s="52"/>
      <c r="AB1988" s="52"/>
      <c r="AC1988" s="52"/>
      <c r="AD1988" s="52"/>
      <c r="AE1988" s="52"/>
      <c r="AF1988" s="52"/>
      <c r="AG1988" s="52"/>
      <c r="AH1988" s="52"/>
      <c r="AM1988" s="52"/>
      <c r="AN1988" s="52"/>
    </row>
    <row r="1989" spans="16:40" x14ac:dyDescent="0.2">
      <c r="P1989" s="52"/>
      <c r="Q1989" s="52"/>
      <c r="R1989" s="52"/>
      <c r="S1989" s="52"/>
      <c r="T1989" s="52"/>
      <c r="U1989" s="52"/>
      <c r="V1989" s="52"/>
      <c r="W1989" s="52"/>
      <c r="X1989" s="52"/>
      <c r="Y1989" s="52"/>
      <c r="Z1989" s="52"/>
      <c r="AA1989" s="52"/>
      <c r="AB1989" s="52"/>
      <c r="AC1989" s="52"/>
      <c r="AD1989" s="52"/>
      <c r="AE1989" s="52"/>
      <c r="AF1989" s="52"/>
      <c r="AG1989" s="52"/>
      <c r="AH1989" s="52"/>
      <c r="AM1989" s="52"/>
      <c r="AN1989" s="52"/>
    </row>
    <row r="1990" spans="16:40" x14ac:dyDescent="0.2">
      <c r="P1990" s="52"/>
      <c r="Q1990" s="52"/>
      <c r="R1990" s="52"/>
      <c r="S1990" s="52"/>
      <c r="T1990" s="52"/>
      <c r="U1990" s="52"/>
      <c r="V1990" s="52"/>
      <c r="W1990" s="52"/>
      <c r="X1990" s="52"/>
      <c r="Y1990" s="52"/>
      <c r="Z1990" s="52"/>
      <c r="AA1990" s="52"/>
      <c r="AB1990" s="52"/>
      <c r="AC1990" s="52"/>
      <c r="AD1990" s="52"/>
      <c r="AE1990" s="52"/>
      <c r="AF1990" s="52"/>
      <c r="AG1990" s="52"/>
      <c r="AH1990" s="52"/>
      <c r="AM1990" s="52"/>
      <c r="AN1990" s="52"/>
    </row>
    <row r="1991" spans="16:40" x14ac:dyDescent="0.2">
      <c r="P1991" s="52"/>
      <c r="Q1991" s="52"/>
      <c r="R1991" s="52"/>
      <c r="S1991" s="52"/>
      <c r="T1991" s="52"/>
      <c r="U1991" s="52"/>
      <c r="V1991" s="52"/>
      <c r="W1991" s="52"/>
      <c r="X1991" s="52"/>
      <c r="Y1991" s="52"/>
      <c r="Z1991" s="52"/>
      <c r="AA1991" s="52"/>
      <c r="AB1991" s="52"/>
      <c r="AC1991" s="52"/>
      <c r="AD1991" s="52"/>
      <c r="AE1991" s="52"/>
      <c r="AF1991" s="52"/>
      <c r="AG1991" s="52"/>
      <c r="AH1991" s="52"/>
      <c r="AM1991" s="52"/>
      <c r="AN1991" s="52"/>
    </row>
    <row r="1992" spans="16:40" x14ac:dyDescent="0.2">
      <c r="P1992" s="52"/>
      <c r="Q1992" s="52"/>
      <c r="R1992" s="52"/>
      <c r="S1992" s="52"/>
      <c r="T1992" s="52"/>
      <c r="U1992" s="52"/>
      <c r="V1992" s="52"/>
      <c r="W1992" s="52"/>
      <c r="X1992" s="52"/>
      <c r="Y1992" s="52"/>
      <c r="Z1992" s="52"/>
      <c r="AA1992" s="52"/>
      <c r="AB1992" s="52"/>
      <c r="AC1992" s="52"/>
      <c r="AD1992" s="52"/>
      <c r="AE1992" s="52"/>
      <c r="AF1992" s="52"/>
      <c r="AG1992" s="52"/>
      <c r="AH1992" s="52"/>
      <c r="AM1992" s="52"/>
      <c r="AN1992" s="52"/>
    </row>
    <row r="1993" spans="16:40" x14ac:dyDescent="0.2">
      <c r="P1993" s="52"/>
      <c r="Q1993" s="52"/>
      <c r="R1993" s="52"/>
      <c r="S1993" s="52"/>
      <c r="T1993" s="52"/>
      <c r="U1993" s="52"/>
      <c r="V1993" s="52"/>
      <c r="W1993" s="52"/>
      <c r="X1993" s="52"/>
      <c r="Y1993" s="52"/>
      <c r="Z1993" s="52"/>
      <c r="AA1993" s="52"/>
      <c r="AB1993" s="52"/>
      <c r="AC1993" s="52"/>
      <c r="AD1993" s="52"/>
      <c r="AE1993" s="52"/>
      <c r="AF1993" s="52"/>
      <c r="AG1993" s="52"/>
      <c r="AH1993" s="52"/>
      <c r="AM1993" s="52"/>
      <c r="AN1993" s="52"/>
    </row>
    <row r="1994" spans="16:40" x14ac:dyDescent="0.2">
      <c r="P1994" s="52"/>
      <c r="Q1994" s="52"/>
      <c r="R1994" s="52"/>
      <c r="S1994" s="52"/>
      <c r="T1994" s="52"/>
      <c r="U1994" s="52"/>
      <c r="V1994" s="52"/>
      <c r="W1994" s="52"/>
      <c r="X1994" s="52"/>
      <c r="Y1994" s="52"/>
      <c r="Z1994" s="52"/>
      <c r="AA1994" s="52"/>
      <c r="AB1994" s="52"/>
      <c r="AC1994" s="52"/>
      <c r="AD1994" s="52"/>
      <c r="AE1994" s="52"/>
      <c r="AF1994" s="52"/>
      <c r="AG1994" s="52"/>
      <c r="AH1994" s="52"/>
      <c r="AM1994" s="52"/>
      <c r="AN1994" s="52"/>
    </row>
    <row r="1995" spans="16:40" x14ac:dyDescent="0.2">
      <c r="P1995" s="52"/>
      <c r="Q1995" s="52"/>
      <c r="R1995" s="52"/>
      <c r="S1995" s="52"/>
      <c r="T1995" s="52"/>
      <c r="U1995" s="52"/>
      <c r="V1995" s="52"/>
      <c r="W1995" s="52"/>
      <c r="X1995" s="52"/>
      <c r="Y1995" s="52"/>
      <c r="Z1995" s="52"/>
      <c r="AA1995" s="52"/>
      <c r="AB1995" s="52"/>
      <c r="AC1995" s="52"/>
      <c r="AD1995" s="52"/>
      <c r="AE1995" s="52"/>
      <c r="AF1995" s="52"/>
      <c r="AG1995" s="52"/>
      <c r="AH1995" s="52"/>
      <c r="AM1995" s="52"/>
      <c r="AN1995" s="52"/>
    </row>
    <row r="1996" spans="16:40" x14ac:dyDescent="0.2">
      <c r="P1996" s="52"/>
      <c r="Q1996" s="52"/>
      <c r="R1996" s="52"/>
      <c r="S1996" s="52"/>
      <c r="T1996" s="52"/>
      <c r="U1996" s="52"/>
      <c r="V1996" s="52"/>
      <c r="W1996" s="52"/>
      <c r="X1996" s="52"/>
      <c r="Y1996" s="52"/>
      <c r="Z1996" s="52"/>
      <c r="AA1996" s="52"/>
      <c r="AB1996" s="52"/>
      <c r="AC1996" s="52"/>
      <c r="AD1996" s="52"/>
      <c r="AE1996" s="52"/>
      <c r="AF1996" s="52"/>
      <c r="AG1996" s="52"/>
      <c r="AH1996" s="52"/>
      <c r="AM1996" s="52"/>
      <c r="AN1996" s="52"/>
    </row>
    <row r="1997" spans="16:40" x14ac:dyDescent="0.2">
      <c r="P1997" s="52"/>
      <c r="Q1997" s="52"/>
      <c r="R1997" s="52"/>
      <c r="S1997" s="52"/>
      <c r="T1997" s="52"/>
      <c r="U1997" s="52"/>
      <c r="V1997" s="52"/>
      <c r="W1997" s="52"/>
      <c r="X1997" s="52"/>
      <c r="Y1997" s="52"/>
      <c r="Z1997" s="52"/>
      <c r="AA1997" s="52"/>
      <c r="AB1997" s="52"/>
      <c r="AC1997" s="52"/>
      <c r="AD1997" s="52"/>
      <c r="AE1997" s="52"/>
      <c r="AF1997" s="52"/>
      <c r="AG1997" s="52"/>
      <c r="AH1997" s="52"/>
      <c r="AM1997" s="52"/>
      <c r="AN1997" s="52"/>
    </row>
    <row r="1998" spans="16:40" x14ac:dyDescent="0.2"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2"/>
      <c r="AA1998" s="52"/>
      <c r="AB1998" s="52"/>
      <c r="AC1998" s="52"/>
      <c r="AD1998" s="52"/>
      <c r="AE1998" s="52"/>
      <c r="AF1998" s="52"/>
      <c r="AG1998" s="52"/>
      <c r="AH1998" s="52"/>
      <c r="AM1998" s="52"/>
      <c r="AN1998" s="52"/>
    </row>
    <row r="1999" spans="16:40" x14ac:dyDescent="0.2">
      <c r="P1999" s="52"/>
      <c r="Q1999" s="52"/>
      <c r="R1999" s="52"/>
      <c r="S1999" s="52"/>
      <c r="T1999" s="52"/>
      <c r="U1999" s="52"/>
      <c r="V1999" s="52"/>
      <c r="W1999" s="52"/>
      <c r="X1999" s="52"/>
      <c r="Y1999" s="52"/>
      <c r="Z1999" s="52"/>
      <c r="AA1999" s="52"/>
      <c r="AB1999" s="52"/>
      <c r="AC1999" s="52"/>
      <c r="AD1999" s="52"/>
      <c r="AE1999" s="52"/>
      <c r="AF1999" s="52"/>
      <c r="AG1999" s="52"/>
      <c r="AH1999" s="52"/>
      <c r="AM1999" s="52"/>
      <c r="AN1999" s="52"/>
    </row>
    <row r="2000" spans="16:40" x14ac:dyDescent="0.2">
      <c r="P2000" s="52"/>
      <c r="Q2000" s="52"/>
      <c r="R2000" s="52"/>
      <c r="S2000" s="52"/>
      <c r="T2000" s="52"/>
      <c r="U2000" s="52"/>
      <c r="V2000" s="52"/>
      <c r="W2000" s="52"/>
      <c r="X2000" s="52"/>
      <c r="Y2000" s="52"/>
      <c r="Z2000" s="52"/>
      <c r="AA2000" s="52"/>
      <c r="AB2000" s="52"/>
      <c r="AC2000" s="52"/>
      <c r="AD2000" s="52"/>
      <c r="AE2000" s="52"/>
      <c r="AF2000" s="52"/>
      <c r="AG2000" s="52"/>
      <c r="AH2000" s="52"/>
      <c r="AM2000" s="52"/>
      <c r="AN2000" s="52"/>
    </row>
    <row r="2001" spans="16:40" x14ac:dyDescent="0.2">
      <c r="P2001" s="52"/>
      <c r="Q2001" s="52"/>
      <c r="R2001" s="52"/>
      <c r="S2001" s="52"/>
      <c r="T2001" s="52"/>
      <c r="U2001" s="52"/>
      <c r="V2001" s="52"/>
      <c r="W2001" s="52"/>
      <c r="X2001" s="52"/>
      <c r="Y2001" s="52"/>
      <c r="Z2001" s="52"/>
      <c r="AA2001" s="52"/>
      <c r="AB2001" s="52"/>
      <c r="AC2001" s="52"/>
      <c r="AD2001" s="52"/>
      <c r="AE2001" s="52"/>
      <c r="AF2001" s="52"/>
      <c r="AG2001" s="52"/>
      <c r="AH2001" s="52"/>
      <c r="AM2001" s="52"/>
      <c r="AN2001" s="52"/>
    </row>
    <row r="2002" spans="16:40" x14ac:dyDescent="0.2">
      <c r="P2002" s="52"/>
      <c r="Q2002" s="52"/>
      <c r="R2002" s="52"/>
      <c r="S2002" s="52"/>
      <c r="T2002" s="52"/>
      <c r="U2002" s="52"/>
      <c r="V2002" s="52"/>
      <c r="W2002" s="52"/>
      <c r="X2002" s="52"/>
      <c r="Y2002" s="52"/>
      <c r="Z2002" s="52"/>
      <c r="AA2002" s="52"/>
      <c r="AB2002" s="52"/>
      <c r="AC2002" s="52"/>
      <c r="AD2002" s="52"/>
      <c r="AE2002" s="52"/>
      <c r="AF2002" s="52"/>
      <c r="AG2002" s="52"/>
      <c r="AH2002" s="52"/>
      <c r="AM2002" s="52"/>
      <c r="AN2002" s="52"/>
    </row>
    <row r="2003" spans="16:40" x14ac:dyDescent="0.2">
      <c r="P2003" s="52"/>
      <c r="Q2003" s="52"/>
      <c r="R2003" s="52"/>
      <c r="S2003" s="52"/>
      <c r="T2003" s="52"/>
      <c r="U2003" s="52"/>
      <c r="V2003" s="52"/>
      <c r="W2003" s="52"/>
      <c r="X2003" s="52"/>
      <c r="Y2003" s="52"/>
      <c r="Z2003" s="52"/>
      <c r="AA2003" s="52"/>
      <c r="AB2003" s="52"/>
      <c r="AC2003" s="52"/>
      <c r="AD2003" s="52"/>
      <c r="AE2003" s="52"/>
      <c r="AF2003" s="52"/>
      <c r="AG2003" s="52"/>
      <c r="AH2003" s="52"/>
      <c r="AM2003" s="52"/>
      <c r="AN2003" s="52"/>
    </row>
    <row r="2004" spans="16:40" x14ac:dyDescent="0.2">
      <c r="P2004" s="52"/>
      <c r="Q2004" s="52"/>
      <c r="R2004" s="52"/>
      <c r="S2004" s="52"/>
      <c r="T2004" s="52"/>
      <c r="U2004" s="52"/>
      <c r="V2004" s="52"/>
      <c r="W2004" s="52"/>
      <c r="X2004" s="52"/>
      <c r="Y2004" s="52"/>
      <c r="Z2004" s="52"/>
      <c r="AA2004" s="52"/>
      <c r="AB2004" s="52"/>
      <c r="AC2004" s="52"/>
      <c r="AD2004" s="52"/>
      <c r="AE2004" s="52"/>
      <c r="AF2004" s="52"/>
      <c r="AG2004" s="52"/>
      <c r="AH2004" s="52"/>
      <c r="AM2004" s="52"/>
      <c r="AN2004" s="52"/>
    </row>
    <row r="2005" spans="16:40" x14ac:dyDescent="0.2">
      <c r="P2005" s="52"/>
      <c r="Q2005" s="52"/>
      <c r="R2005" s="52"/>
      <c r="S2005" s="52"/>
      <c r="T2005" s="52"/>
      <c r="U2005" s="52"/>
      <c r="V2005" s="52"/>
      <c r="W2005" s="52"/>
      <c r="X2005" s="52"/>
      <c r="Y2005" s="52"/>
      <c r="Z2005" s="52"/>
      <c r="AA2005" s="52"/>
      <c r="AB2005" s="52"/>
      <c r="AC2005" s="52"/>
      <c r="AD2005" s="52"/>
      <c r="AE2005" s="52"/>
      <c r="AF2005" s="52"/>
      <c r="AG2005" s="52"/>
      <c r="AH2005" s="52"/>
      <c r="AM2005" s="52"/>
      <c r="AN2005" s="52"/>
    </row>
    <row r="2006" spans="16:40" x14ac:dyDescent="0.2">
      <c r="P2006" s="52"/>
      <c r="Q2006" s="52"/>
      <c r="R2006" s="52"/>
      <c r="S2006" s="52"/>
      <c r="T2006" s="52"/>
      <c r="U2006" s="52"/>
      <c r="V2006" s="52"/>
      <c r="W2006" s="52"/>
      <c r="X2006" s="52"/>
      <c r="Y2006" s="52"/>
      <c r="Z2006" s="52"/>
      <c r="AA2006" s="52"/>
      <c r="AB2006" s="52"/>
      <c r="AC2006" s="52"/>
      <c r="AD2006" s="52"/>
      <c r="AE2006" s="52"/>
      <c r="AF2006" s="52"/>
      <c r="AG2006" s="52"/>
      <c r="AH2006" s="52"/>
      <c r="AM2006" s="52"/>
      <c r="AN2006" s="52"/>
    </row>
    <row r="2007" spans="16:40" x14ac:dyDescent="0.2">
      <c r="P2007" s="52"/>
      <c r="Q2007" s="52"/>
      <c r="R2007" s="52"/>
      <c r="S2007" s="52"/>
      <c r="T2007" s="52"/>
      <c r="U2007" s="52"/>
      <c r="V2007" s="52"/>
      <c r="W2007" s="52"/>
      <c r="X2007" s="52"/>
      <c r="Y2007" s="52"/>
      <c r="Z2007" s="52"/>
      <c r="AA2007" s="52"/>
      <c r="AB2007" s="52"/>
      <c r="AC2007" s="52"/>
      <c r="AD2007" s="52"/>
      <c r="AE2007" s="52"/>
      <c r="AF2007" s="52"/>
      <c r="AG2007" s="52"/>
      <c r="AH2007" s="52"/>
      <c r="AM2007" s="52"/>
      <c r="AN2007" s="52"/>
    </row>
    <row r="2008" spans="16:40" x14ac:dyDescent="0.2">
      <c r="P2008" s="52"/>
      <c r="Q2008" s="52"/>
      <c r="R2008" s="52"/>
      <c r="S2008" s="52"/>
      <c r="T2008" s="52"/>
      <c r="U2008" s="52"/>
      <c r="V2008" s="52"/>
      <c r="W2008" s="52"/>
      <c r="X2008" s="52"/>
      <c r="Y2008" s="52"/>
      <c r="Z2008" s="52"/>
      <c r="AA2008" s="52"/>
      <c r="AB2008" s="52"/>
      <c r="AC2008" s="52"/>
      <c r="AD2008" s="52"/>
      <c r="AE2008" s="52"/>
      <c r="AF2008" s="52"/>
      <c r="AG2008" s="52"/>
      <c r="AH2008" s="52"/>
      <c r="AM2008" s="52"/>
      <c r="AN2008" s="52"/>
    </row>
    <row r="2009" spans="16:40" x14ac:dyDescent="0.2">
      <c r="P2009" s="52"/>
      <c r="Q2009" s="52"/>
      <c r="R2009" s="52"/>
      <c r="S2009" s="52"/>
      <c r="T2009" s="52"/>
      <c r="U2009" s="52"/>
      <c r="V2009" s="52"/>
      <c r="W2009" s="52"/>
      <c r="X2009" s="52"/>
      <c r="Y2009" s="52"/>
      <c r="Z2009" s="52"/>
      <c r="AA2009" s="52"/>
      <c r="AB2009" s="52"/>
      <c r="AC2009" s="52"/>
      <c r="AD2009" s="52"/>
      <c r="AE2009" s="52"/>
      <c r="AF2009" s="52"/>
      <c r="AG2009" s="52"/>
      <c r="AH2009" s="52"/>
      <c r="AM2009" s="52"/>
      <c r="AN2009" s="52"/>
    </row>
    <row r="2010" spans="16:40" x14ac:dyDescent="0.2">
      <c r="P2010" s="52"/>
      <c r="Q2010" s="52"/>
      <c r="R2010" s="52"/>
      <c r="S2010" s="52"/>
      <c r="T2010" s="52"/>
      <c r="U2010" s="52"/>
      <c r="V2010" s="52"/>
      <c r="W2010" s="52"/>
      <c r="X2010" s="52"/>
      <c r="Y2010" s="52"/>
      <c r="Z2010" s="52"/>
      <c r="AA2010" s="52"/>
      <c r="AB2010" s="52"/>
      <c r="AC2010" s="52"/>
      <c r="AD2010" s="52"/>
      <c r="AE2010" s="52"/>
      <c r="AF2010" s="52"/>
      <c r="AG2010" s="52"/>
      <c r="AH2010" s="52"/>
      <c r="AM2010" s="52"/>
      <c r="AN2010" s="52"/>
    </row>
    <row r="2011" spans="16:40" x14ac:dyDescent="0.2">
      <c r="P2011" s="52"/>
      <c r="Q2011" s="52"/>
      <c r="R2011" s="52"/>
      <c r="S2011" s="52"/>
      <c r="T2011" s="52"/>
      <c r="U2011" s="52"/>
      <c r="V2011" s="52"/>
      <c r="W2011" s="52"/>
      <c r="X2011" s="52"/>
      <c r="Y2011" s="52"/>
      <c r="Z2011" s="52"/>
      <c r="AA2011" s="52"/>
      <c r="AB2011" s="52"/>
      <c r="AC2011" s="52"/>
      <c r="AD2011" s="52"/>
      <c r="AE2011" s="52"/>
      <c r="AF2011" s="52"/>
      <c r="AG2011" s="52"/>
      <c r="AH2011" s="52"/>
      <c r="AM2011" s="52"/>
      <c r="AN2011" s="52"/>
    </row>
    <row r="2012" spans="16:40" x14ac:dyDescent="0.2">
      <c r="P2012" s="52"/>
      <c r="Q2012" s="52"/>
      <c r="R2012" s="52"/>
      <c r="S2012" s="52"/>
      <c r="T2012" s="52"/>
      <c r="U2012" s="52"/>
      <c r="V2012" s="52"/>
      <c r="W2012" s="52"/>
      <c r="X2012" s="52"/>
      <c r="Y2012" s="52"/>
      <c r="Z2012" s="52"/>
      <c r="AA2012" s="52"/>
      <c r="AB2012" s="52"/>
      <c r="AC2012" s="52"/>
      <c r="AD2012" s="52"/>
      <c r="AE2012" s="52"/>
      <c r="AF2012" s="52"/>
      <c r="AG2012" s="52"/>
      <c r="AH2012" s="52"/>
      <c r="AM2012" s="52"/>
      <c r="AN2012" s="52"/>
    </row>
    <row r="2013" spans="16:40" x14ac:dyDescent="0.2">
      <c r="P2013" s="52"/>
      <c r="Q2013" s="52"/>
      <c r="R2013" s="52"/>
      <c r="S2013" s="52"/>
      <c r="T2013" s="52"/>
      <c r="U2013" s="52"/>
      <c r="V2013" s="52"/>
      <c r="W2013" s="52"/>
      <c r="X2013" s="52"/>
      <c r="Y2013" s="52"/>
      <c r="Z2013" s="52"/>
      <c r="AA2013" s="52"/>
      <c r="AB2013" s="52"/>
      <c r="AC2013" s="52"/>
      <c r="AD2013" s="52"/>
      <c r="AE2013" s="52"/>
      <c r="AF2013" s="52"/>
      <c r="AG2013" s="52"/>
      <c r="AH2013" s="52"/>
      <c r="AM2013" s="52"/>
      <c r="AN2013" s="52"/>
    </row>
    <row r="2014" spans="16:40" x14ac:dyDescent="0.2">
      <c r="P2014" s="52"/>
      <c r="Q2014" s="52"/>
      <c r="R2014" s="52"/>
      <c r="S2014" s="52"/>
      <c r="T2014" s="52"/>
      <c r="U2014" s="52"/>
      <c r="V2014" s="52"/>
      <c r="W2014" s="52"/>
      <c r="X2014" s="52"/>
      <c r="Y2014" s="52"/>
      <c r="Z2014" s="52"/>
      <c r="AA2014" s="52"/>
      <c r="AB2014" s="52"/>
      <c r="AC2014" s="52"/>
      <c r="AD2014" s="52"/>
      <c r="AE2014" s="52"/>
      <c r="AF2014" s="52"/>
      <c r="AG2014" s="52"/>
      <c r="AH2014" s="52"/>
      <c r="AM2014" s="52"/>
      <c r="AN2014" s="52"/>
    </row>
    <row r="2015" spans="16:40" x14ac:dyDescent="0.2">
      <c r="P2015" s="52"/>
      <c r="Q2015" s="52"/>
      <c r="R2015" s="52"/>
      <c r="S2015" s="52"/>
      <c r="T2015" s="52"/>
      <c r="U2015" s="52"/>
      <c r="V2015" s="52"/>
      <c r="W2015" s="52"/>
      <c r="X2015" s="52"/>
      <c r="Y2015" s="52"/>
      <c r="Z2015" s="52"/>
      <c r="AA2015" s="52"/>
      <c r="AB2015" s="52"/>
      <c r="AC2015" s="52"/>
      <c r="AD2015" s="52"/>
      <c r="AE2015" s="52"/>
      <c r="AF2015" s="52"/>
      <c r="AG2015" s="52"/>
      <c r="AH2015" s="52"/>
      <c r="AM2015" s="52"/>
      <c r="AN2015" s="52"/>
    </row>
    <row r="2016" spans="16:40" x14ac:dyDescent="0.2">
      <c r="P2016" s="52"/>
      <c r="Q2016" s="52"/>
      <c r="R2016" s="52"/>
      <c r="S2016" s="52"/>
      <c r="T2016" s="52"/>
      <c r="U2016" s="52"/>
      <c r="V2016" s="52"/>
      <c r="W2016" s="52"/>
      <c r="X2016" s="52"/>
      <c r="Y2016" s="52"/>
      <c r="Z2016" s="52"/>
      <c r="AA2016" s="52"/>
      <c r="AB2016" s="52"/>
      <c r="AC2016" s="52"/>
      <c r="AD2016" s="52"/>
      <c r="AE2016" s="52"/>
      <c r="AF2016" s="52"/>
      <c r="AG2016" s="52"/>
      <c r="AH2016" s="52"/>
      <c r="AM2016" s="52"/>
      <c r="AN2016" s="52"/>
    </row>
    <row r="2017" spans="16:40" x14ac:dyDescent="0.2">
      <c r="P2017" s="52"/>
      <c r="Q2017" s="52"/>
      <c r="R2017" s="52"/>
      <c r="S2017" s="52"/>
      <c r="T2017" s="52"/>
      <c r="U2017" s="52"/>
      <c r="V2017" s="52"/>
      <c r="W2017" s="52"/>
      <c r="X2017" s="52"/>
      <c r="Y2017" s="52"/>
      <c r="Z2017" s="52"/>
      <c r="AA2017" s="52"/>
      <c r="AB2017" s="52"/>
      <c r="AC2017" s="52"/>
      <c r="AD2017" s="52"/>
      <c r="AE2017" s="52"/>
      <c r="AF2017" s="52"/>
      <c r="AG2017" s="52"/>
      <c r="AH2017" s="52"/>
      <c r="AM2017" s="52"/>
      <c r="AN2017" s="52"/>
    </row>
    <row r="2018" spans="16:40" x14ac:dyDescent="0.2">
      <c r="P2018" s="52"/>
      <c r="Q2018" s="52"/>
      <c r="R2018" s="52"/>
      <c r="S2018" s="52"/>
      <c r="T2018" s="52"/>
      <c r="U2018" s="52"/>
      <c r="V2018" s="52"/>
      <c r="W2018" s="52"/>
      <c r="X2018" s="52"/>
      <c r="Y2018" s="52"/>
      <c r="Z2018" s="52"/>
      <c r="AA2018" s="52"/>
      <c r="AB2018" s="52"/>
      <c r="AC2018" s="52"/>
      <c r="AD2018" s="52"/>
      <c r="AE2018" s="52"/>
      <c r="AF2018" s="52"/>
      <c r="AG2018" s="52"/>
      <c r="AH2018" s="52"/>
      <c r="AM2018" s="52"/>
      <c r="AN2018" s="52"/>
    </row>
    <row r="2019" spans="16:40" x14ac:dyDescent="0.2">
      <c r="P2019" s="52"/>
      <c r="Q2019" s="52"/>
      <c r="R2019" s="52"/>
      <c r="S2019" s="52"/>
      <c r="T2019" s="52"/>
      <c r="U2019" s="52"/>
      <c r="V2019" s="52"/>
      <c r="W2019" s="52"/>
      <c r="X2019" s="52"/>
      <c r="Y2019" s="52"/>
      <c r="Z2019" s="52"/>
      <c r="AA2019" s="52"/>
      <c r="AB2019" s="52"/>
      <c r="AC2019" s="52"/>
      <c r="AD2019" s="52"/>
      <c r="AE2019" s="52"/>
      <c r="AF2019" s="52"/>
      <c r="AG2019" s="52"/>
      <c r="AH2019" s="52"/>
      <c r="AM2019" s="52"/>
      <c r="AN2019" s="52"/>
    </row>
    <row r="2020" spans="16:40" x14ac:dyDescent="0.2">
      <c r="P2020" s="52"/>
      <c r="Q2020" s="52"/>
      <c r="R2020" s="52"/>
      <c r="S2020" s="52"/>
      <c r="T2020" s="52"/>
      <c r="U2020" s="52"/>
      <c r="V2020" s="52"/>
      <c r="W2020" s="52"/>
      <c r="X2020" s="52"/>
      <c r="Y2020" s="52"/>
      <c r="Z2020" s="52"/>
      <c r="AA2020" s="52"/>
      <c r="AB2020" s="52"/>
      <c r="AC2020" s="52"/>
      <c r="AD2020" s="52"/>
      <c r="AE2020" s="52"/>
      <c r="AF2020" s="52"/>
      <c r="AG2020" s="52"/>
      <c r="AH2020" s="52"/>
      <c r="AM2020" s="52"/>
      <c r="AN2020" s="52"/>
    </row>
    <row r="2021" spans="16:40" x14ac:dyDescent="0.2">
      <c r="P2021" s="52"/>
      <c r="Q2021" s="52"/>
      <c r="R2021" s="52"/>
      <c r="S2021" s="52"/>
      <c r="T2021" s="52"/>
      <c r="U2021" s="52"/>
      <c r="V2021" s="52"/>
      <c r="W2021" s="52"/>
      <c r="X2021" s="52"/>
      <c r="Y2021" s="52"/>
      <c r="Z2021" s="52"/>
      <c r="AA2021" s="52"/>
      <c r="AB2021" s="52"/>
      <c r="AC2021" s="52"/>
      <c r="AD2021" s="52"/>
      <c r="AE2021" s="52"/>
      <c r="AF2021" s="52"/>
      <c r="AG2021" s="52"/>
      <c r="AH2021" s="52"/>
      <c r="AM2021" s="52"/>
      <c r="AN2021" s="52"/>
    </row>
    <row r="2022" spans="16:40" x14ac:dyDescent="0.2">
      <c r="P2022" s="52"/>
      <c r="Q2022" s="52"/>
      <c r="R2022" s="52"/>
      <c r="S2022" s="52"/>
      <c r="T2022" s="52"/>
      <c r="U2022" s="52"/>
      <c r="V2022" s="52"/>
      <c r="W2022" s="52"/>
      <c r="X2022" s="52"/>
      <c r="Y2022" s="52"/>
      <c r="Z2022" s="52"/>
      <c r="AA2022" s="52"/>
      <c r="AB2022" s="52"/>
      <c r="AC2022" s="52"/>
      <c r="AD2022" s="52"/>
      <c r="AE2022" s="52"/>
      <c r="AF2022" s="52"/>
      <c r="AG2022" s="52"/>
      <c r="AH2022" s="52"/>
      <c r="AM2022" s="52"/>
      <c r="AN2022" s="52"/>
    </row>
    <row r="2023" spans="16:40" x14ac:dyDescent="0.2">
      <c r="P2023" s="52"/>
      <c r="Q2023" s="52"/>
      <c r="R2023" s="52"/>
      <c r="S2023" s="52"/>
      <c r="T2023" s="52"/>
      <c r="U2023" s="52"/>
      <c r="V2023" s="52"/>
      <c r="W2023" s="52"/>
      <c r="X2023" s="52"/>
      <c r="Y2023" s="52"/>
      <c r="Z2023" s="52"/>
      <c r="AA2023" s="52"/>
      <c r="AB2023" s="52"/>
      <c r="AC2023" s="52"/>
      <c r="AD2023" s="52"/>
      <c r="AE2023" s="52"/>
      <c r="AF2023" s="52"/>
      <c r="AG2023" s="52"/>
      <c r="AH2023" s="52"/>
      <c r="AM2023" s="52"/>
      <c r="AN2023" s="52"/>
    </row>
    <row r="2024" spans="16:40" x14ac:dyDescent="0.2">
      <c r="P2024" s="52"/>
      <c r="Q2024" s="52"/>
      <c r="R2024" s="52"/>
      <c r="S2024" s="52"/>
      <c r="T2024" s="52"/>
      <c r="U2024" s="52"/>
      <c r="V2024" s="52"/>
      <c r="W2024" s="52"/>
      <c r="X2024" s="52"/>
      <c r="Y2024" s="52"/>
      <c r="Z2024" s="52"/>
      <c r="AA2024" s="52"/>
      <c r="AB2024" s="52"/>
      <c r="AC2024" s="52"/>
      <c r="AD2024" s="52"/>
      <c r="AE2024" s="52"/>
      <c r="AF2024" s="52"/>
      <c r="AG2024" s="52"/>
      <c r="AH2024" s="52"/>
      <c r="AM2024" s="52"/>
      <c r="AN2024" s="52"/>
    </row>
    <row r="2025" spans="16:40" x14ac:dyDescent="0.2">
      <c r="P2025" s="52"/>
      <c r="Q2025" s="52"/>
      <c r="R2025" s="52"/>
      <c r="S2025" s="52"/>
      <c r="T2025" s="52"/>
      <c r="U2025" s="52"/>
      <c r="V2025" s="52"/>
      <c r="W2025" s="52"/>
      <c r="X2025" s="52"/>
      <c r="Y2025" s="52"/>
      <c r="Z2025" s="52"/>
      <c r="AA2025" s="52"/>
      <c r="AB2025" s="52"/>
      <c r="AC2025" s="52"/>
      <c r="AD2025" s="52"/>
      <c r="AE2025" s="52"/>
      <c r="AF2025" s="52"/>
      <c r="AG2025" s="52"/>
      <c r="AH2025" s="52"/>
      <c r="AM2025" s="52"/>
      <c r="AN2025" s="52"/>
    </row>
    <row r="2026" spans="16:40" x14ac:dyDescent="0.2">
      <c r="P2026" s="52"/>
      <c r="Q2026" s="52"/>
      <c r="R2026" s="52"/>
      <c r="S2026" s="52"/>
      <c r="T2026" s="52"/>
      <c r="U2026" s="52"/>
      <c r="V2026" s="52"/>
      <c r="W2026" s="52"/>
      <c r="X2026" s="52"/>
      <c r="Y2026" s="52"/>
      <c r="Z2026" s="52"/>
      <c r="AA2026" s="52"/>
      <c r="AB2026" s="52"/>
      <c r="AC2026" s="52"/>
      <c r="AD2026" s="52"/>
      <c r="AE2026" s="52"/>
      <c r="AF2026" s="52"/>
      <c r="AG2026" s="52"/>
      <c r="AH2026" s="52"/>
      <c r="AM2026" s="52"/>
      <c r="AN2026" s="52"/>
    </row>
    <row r="2027" spans="16:40" x14ac:dyDescent="0.2">
      <c r="P2027" s="52"/>
      <c r="Q2027" s="52"/>
      <c r="R2027" s="52"/>
      <c r="S2027" s="52"/>
      <c r="T2027" s="52"/>
      <c r="U2027" s="52"/>
      <c r="V2027" s="52"/>
      <c r="W2027" s="52"/>
      <c r="X2027" s="52"/>
      <c r="Y2027" s="52"/>
      <c r="Z2027" s="52"/>
      <c r="AA2027" s="52"/>
      <c r="AB2027" s="52"/>
      <c r="AC2027" s="52"/>
      <c r="AD2027" s="52"/>
      <c r="AE2027" s="52"/>
      <c r="AF2027" s="52"/>
      <c r="AG2027" s="52"/>
      <c r="AH2027" s="52"/>
      <c r="AM2027" s="52"/>
      <c r="AN2027" s="52"/>
    </row>
    <row r="2028" spans="16:40" x14ac:dyDescent="0.2">
      <c r="P2028" s="52"/>
      <c r="Q2028" s="52"/>
      <c r="R2028" s="52"/>
      <c r="S2028" s="52"/>
      <c r="T2028" s="52"/>
      <c r="U2028" s="52"/>
      <c r="V2028" s="52"/>
      <c r="W2028" s="52"/>
      <c r="X2028" s="52"/>
      <c r="Y2028" s="52"/>
      <c r="Z2028" s="52"/>
      <c r="AA2028" s="52"/>
      <c r="AB2028" s="52"/>
      <c r="AC2028" s="52"/>
      <c r="AD2028" s="52"/>
      <c r="AE2028" s="52"/>
      <c r="AF2028" s="52"/>
      <c r="AG2028" s="52"/>
      <c r="AH2028" s="52"/>
      <c r="AM2028" s="52"/>
      <c r="AN2028" s="52"/>
    </row>
    <row r="2029" spans="16:40" x14ac:dyDescent="0.2">
      <c r="P2029" s="52"/>
      <c r="Q2029" s="52"/>
      <c r="R2029" s="52"/>
      <c r="S2029" s="52"/>
      <c r="T2029" s="52"/>
      <c r="U2029" s="52"/>
      <c r="V2029" s="52"/>
      <c r="W2029" s="52"/>
      <c r="X2029" s="52"/>
      <c r="Y2029" s="52"/>
      <c r="Z2029" s="52"/>
      <c r="AA2029" s="52"/>
      <c r="AB2029" s="52"/>
      <c r="AC2029" s="52"/>
      <c r="AD2029" s="52"/>
      <c r="AE2029" s="52"/>
      <c r="AF2029" s="52"/>
      <c r="AG2029" s="52"/>
      <c r="AH2029" s="52"/>
      <c r="AM2029" s="52"/>
      <c r="AN2029" s="52"/>
    </row>
    <row r="2030" spans="16:40" x14ac:dyDescent="0.2">
      <c r="P2030" s="52"/>
      <c r="Q2030" s="52"/>
      <c r="R2030" s="52"/>
      <c r="S2030" s="52"/>
      <c r="T2030" s="52"/>
      <c r="U2030" s="52"/>
      <c r="V2030" s="52"/>
      <c r="W2030" s="52"/>
      <c r="X2030" s="52"/>
      <c r="Y2030" s="52"/>
      <c r="Z2030" s="52"/>
      <c r="AA2030" s="52"/>
      <c r="AB2030" s="52"/>
      <c r="AC2030" s="52"/>
      <c r="AD2030" s="52"/>
      <c r="AE2030" s="52"/>
      <c r="AF2030" s="52"/>
      <c r="AG2030" s="52"/>
      <c r="AH2030" s="52"/>
      <c r="AM2030" s="52"/>
      <c r="AN2030" s="52"/>
    </row>
    <row r="2031" spans="16:40" x14ac:dyDescent="0.2">
      <c r="P2031" s="52"/>
      <c r="Q2031" s="52"/>
      <c r="R2031" s="52"/>
      <c r="S2031" s="52"/>
      <c r="T2031" s="52"/>
      <c r="U2031" s="52"/>
      <c r="V2031" s="52"/>
      <c r="W2031" s="52"/>
      <c r="X2031" s="52"/>
      <c r="Y2031" s="52"/>
      <c r="Z2031" s="52"/>
      <c r="AA2031" s="52"/>
      <c r="AB2031" s="52"/>
      <c r="AC2031" s="52"/>
      <c r="AD2031" s="52"/>
      <c r="AE2031" s="52"/>
      <c r="AF2031" s="52"/>
      <c r="AG2031" s="52"/>
      <c r="AH2031" s="52"/>
      <c r="AM2031" s="52"/>
      <c r="AN2031" s="52"/>
    </row>
    <row r="2032" spans="16:40" x14ac:dyDescent="0.2">
      <c r="P2032" s="52"/>
      <c r="Q2032" s="52"/>
      <c r="R2032" s="52"/>
      <c r="S2032" s="52"/>
      <c r="T2032" s="52"/>
      <c r="U2032" s="52"/>
      <c r="V2032" s="52"/>
      <c r="W2032" s="52"/>
      <c r="X2032" s="52"/>
      <c r="Y2032" s="52"/>
      <c r="Z2032" s="52"/>
      <c r="AA2032" s="52"/>
      <c r="AB2032" s="52"/>
      <c r="AC2032" s="52"/>
      <c r="AD2032" s="52"/>
      <c r="AE2032" s="52"/>
      <c r="AF2032" s="52"/>
      <c r="AG2032" s="52"/>
      <c r="AH2032" s="52"/>
      <c r="AM2032" s="52"/>
      <c r="AN2032" s="52"/>
    </row>
    <row r="2033" spans="16:40" x14ac:dyDescent="0.2">
      <c r="P2033" s="52"/>
      <c r="Q2033" s="52"/>
      <c r="R2033" s="52"/>
      <c r="S2033" s="52"/>
      <c r="T2033" s="52"/>
      <c r="U2033" s="52"/>
      <c r="V2033" s="52"/>
      <c r="W2033" s="52"/>
      <c r="X2033" s="52"/>
      <c r="Y2033" s="52"/>
      <c r="Z2033" s="52"/>
      <c r="AA2033" s="52"/>
      <c r="AB2033" s="52"/>
      <c r="AC2033" s="52"/>
      <c r="AD2033" s="52"/>
      <c r="AE2033" s="52"/>
      <c r="AF2033" s="52"/>
      <c r="AG2033" s="52"/>
      <c r="AH2033" s="52"/>
      <c r="AM2033" s="52"/>
      <c r="AN2033" s="52"/>
    </row>
    <row r="2034" spans="16:40" x14ac:dyDescent="0.2">
      <c r="P2034" s="52"/>
      <c r="Q2034" s="52"/>
      <c r="R2034" s="52"/>
      <c r="S2034" s="52"/>
      <c r="T2034" s="52"/>
      <c r="U2034" s="52"/>
      <c r="V2034" s="52"/>
      <c r="W2034" s="52"/>
      <c r="X2034" s="52"/>
      <c r="Y2034" s="52"/>
      <c r="Z2034" s="52"/>
      <c r="AA2034" s="52"/>
      <c r="AB2034" s="52"/>
      <c r="AC2034" s="52"/>
      <c r="AD2034" s="52"/>
      <c r="AE2034" s="52"/>
      <c r="AF2034" s="52"/>
      <c r="AG2034" s="52"/>
      <c r="AH2034" s="52"/>
      <c r="AM2034" s="52"/>
      <c r="AN2034" s="52"/>
    </row>
    <row r="2035" spans="16:40" x14ac:dyDescent="0.2">
      <c r="P2035" s="52"/>
      <c r="Q2035" s="52"/>
      <c r="R2035" s="52"/>
      <c r="S2035" s="52"/>
      <c r="T2035" s="52"/>
      <c r="U2035" s="52"/>
      <c r="V2035" s="52"/>
      <c r="W2035" s="52"/>
      <c r="X2035" s="52"/>
      <c r="Y2035" s="52"/>
      <c r="Z2035" s="52"/>
      <c r="AA2035" s="52"/>
      <c r="AB2035" s="52"/>
      <c r="AC2035" s="52"/>
      <c r="AD2035" s="52"/>
      <c r="AE2035" s="52"/>
      <c r="AF2035" s="52"/>
      <c r="AG2035" s="52"/>
      <c r="AH2035" s="52"/>
      <c r="AM2035" s="52"/>
      <c r="AN2035" s="52"/>
    </row>
    <row r="2036" spans="16:40" x14ac:dyDescent="0.2"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2"/>
      <c r="AA2036" s="52"/>
      <c r="AB2036" s="52"/>
      <c r="AC2036" s="52"/>
      <c r="AD2036" s="52"/>
      <c r="AE2036" s="52"/>
      <c r="AF2036" s="52"/>
      <c r="AG2036" s="52"/>
      <c r="AH2036" s="52"/>
      <c r="AM2036" s="52"/>
      <c r="AN2036" s="52"/>
    </row>
    <row r="2037" spans="16:40" x14ac:dyDescent="0.2">
      <c r="P2037" s="52"/>
      <c r="Q2037" s="52"/>
      <c r="R2037" s="52"/>
      <c r="S2037" s="52"/>
      <c r="T2037" s="52"/>
      <c r="U2037" s="52"/>
      <c r="V2037" s="52"/>
      <c r="W2037" s="52"/>
      <c r="X2037" s="52"/>
      <c r="Y2037" s="52"/>
      <c r="Z2037" s="52"/>
      <c r="AA2037" s="52"/>
      <c r="AB2037" s="52"/>
      <c r="AC2037" s="52"/>
      <c r="AD2037" s="52"/>
      <c r="AE2037" s="52"/>
      <c r="AF2037" s="52"/>
      <c r="AG2037" s="52"/>
      <c r="AH2037" s="52"/>
      <c r="AM2037" s="52"/>
      <c r="AN2037" s="52"/>
    </row>
    <row r="2038" spans="16:40" x14ac:dyDescent="0.2">
      <c r="P2038" s="52"/>
      <c r="Q2038" s="52"/>
      <c r="R2038" s="52"/>
      <c r="S2038" s="52"/>
      <c r="T2038" s="52"/>
      <c r="U2038" s="52"/>
      <c r="V2038" s="52"/>
      <c r="W2038" s="52"/>
      <c r="X2038" s="52"/>
      <c r="Y2038" s="52"/>
      <c r="Z2038" s="52"/>
      <c r="AA2038" s="52"/>
      <c r="AB2038" s="52"/>
      <c r="AC2038" s="52"/>
      <c r="AD2038" s="52"/>
      <c r="AE2038" s="52"/>
      <c r="AF2038" s="52"/>
      <c r="AG2038" s="52"/>
      <c r="AH2038" s="52"/>
      <c r="AM2038" s="52"/>
      <c r="AN2038" s="52"/>
    </row>
    <row r="2039" spans="16:40" x14ac:dyDescent="0.2">
      <c r="P2039" s="52"/>
      <c r="Q2039" s="52"/>
      <c r="R2039" s="52"/>
      <c r="S2039" s="52"/>
      <c r="T2039" s="52"/>
      <c r="U2039" s="52"/>
      <c r="V2039" s="52"/>
      <c r="W2039" s="52"/>
      <c r="X2039" s="52"/>
      <c r="Y2039" s="52"/>
      <c r="Z2039" s="52"/>
      <c r="AA2039" s="52"/>
      <c r="AB2039" s="52"/>
      <c r="AC2039" s="52"/>
      <c r="AD2039" s="52"/>
      <c r="AE2039" s="52"/>
      <c r="AF2039" s="52"/>
      <c r="AG2039" s="52"/>
      <c r="AH2039" s="52"/>
      <c r="AM2039" s="52"/>
      <c r="AN2039" s="52"/>
    </row>
    <row r="2040" spans="16:40" x14ac:dyDescent="0.2">
      <c r="P2040" s="52"/>
      <c r="Q2040" s="52"/>
      <c r="R2040" s="52"/>
      <c r="S2040" s="52"/>
      <c r="T2040" s="52"/>
      <c r="U2040" s="52"/>
      <c r="V2040" s="52"/>
      <c r="W2040" s="52"/>
      <c r="X2040" s="52"/>
      <c r="Y2040" s="52"/>
      <c r="Z2040" s="52"/>
      <c r="AA2040" s="52"/>
      <c r="AB2040" s="52"/>
      <c r="AC2040" s="52"/>
      <c r="AD2040" s="52"/>
      <c r="AE2040" s="52"/>
      <c r="AF2040" s="52"/>
      <c r="AG2040" s="52"/>
      <c r="AH2040" s="52"/>
      <c r="AM2040" s="52"/>
      <c r="AN2040" s="52"/>
    </row>
    <row r="2041" spans="16:40" x14ac:dyDescent="0.2">
      <c r="P2041" s="52"/>
      <c r="Q2041" s="52"/>
      <c r="R2041" s="52"/>
      <c r="S2041" s="52"/>
      <c r="T2041" s="52"/>
      <c r="U2041" s="52"/>
      <c r="V2041" s="52"/>
      <c r="W2041" s="52"/>
      <c r="X2041" s="52"/>
      <c r="Y2041" s="52"/>
      <c r="Z2041" s="52"/>
      <c r="AA2041" s="52"/>
      <c r="AB2041" s="52"/>
      <c r="AC2041" s="52"/>
      <c r="AD2041" s="52"/>
      <c r="AE2041" s="52"/>
      <c r="AF2041" s="52"/>
      <c r="AG2041" s="52"/>
      <c r="AH2041" s="52"/>
      <c r="AM2041" s="52"/>
      <c r="AN2041" s="52"/>
    </row>
    <row r="2042" spans="16:40" x14ac:dyDescent="0.2">
      <c r="P2042" s="52"/>
      <c r="Q2042" s="52"/>
      <c r="R2042" s="52"/>
      <c r="S2042" s="52"/>
      <c r="T2042" s="52"/>
      <c r="U2042" s="52"/>
      <c r="V2042" s="52"/>
      <c r="W2042" s="52"/>
      <c r="X2042" s="52"/>
      <c r="Y2042" s="52"/>
      <c r="Z2042" s="52"/>
      <c r="AA2042" s="52"/>
      <c r="AB2042" s="52"/>
      <c r="AC2042" s="52"/>
      <c r="AD2042" s="52"/>
      <c r="AE2042" s="52"/>
      <c r="AF2042" s="52"/>
      <c r="AG2042" s="52"/>
      <c r="AH2042" s="52"/>
      <c r="AM2042" s="52"/>
      <c r="AN2042" s="52"/>
    </row>
    <row r="2043" spans="16:40" x14ac:dyDescent="0.2">
      <c r="P2043" s="52"/>
      <c r="Q2043" s="52"/>
      <c r="R2043" s="52"/>
      <c r="S2043" s="52"/>
      <c r="T2043" s="52"/>
      <c r="U2043" s="52"/>
      <c r="V2043" s="52"/>
      <c r="W2043" s="52"/>
      <c r="X2043" s="52"/>
      <c r="Y2043" s="52"/>
      <c r="Z2043" s="52"/>
      <c r="AA2043" s="52"/>
      <c r="AB2043" s="52"/>
      <c r="AC2043" s="52"/>
      <c r="AD2043" s="52"/>
      <c r="AE2043" s="52"/>
      <c r="AF2043" s="52"/>
      <c r="AG2043" s="52"/>
      <c r="AH2043" s="52"/>
      <c r="AM2043" s="52"/>
      <c r="AN2043" s="52"/>
    </row>
    <row r="2044" spans="16:40" x14ac:dyDescent="0.2">
      <c r="P2044" s="52"/>
      <c r="Q2044" s="52"/>
      <c r="R2044" s="52"/>
      <c r="S2044" s="52"/>
      <c r="T2044" s="52"/>
      <c r="U2044" s="52"/>
      <c r="V2044" s="52"/>
      <c r="W2044" s="52"/>
      <c r="X2044" s="52"/>
      <c r="Y2044" s="52"/>
      <c r="Z2044" s="52"/>
      <c r="AA2044" s="52"/>
      <c r="AB2044" s="52"/>
      <c r="AC2044" s="52"/>
      <c r="AD2044" s="52"/>
      <c r="AE2044" s="52"/>
      <c r="AF2044" s="52"/>
      <c r="AG2044" s="52"/>
      <c r="AH2044" s="52"/>
      <c r="AM2044" s="52"/>
      <c r="AN2044" s="52"/>
    </row>
    <row r="2045" spans="16:40" x14ac:dyDescent="0.2">
      <c r="P2045" s="52"/>
      <c r="Q2045" s="52"/>
      <c r="R2045" s="52"/>
      <c r="S2045" s="52"/>
      <c r="T2045" s="52"/>
      <c r="U2045" s="52"/>
      <c r="V2045" s="52"/>
      <c r="W2045" s="52"/>
      <c r="X2045" s="52"/>
      <c r="Y2045" s="52"/>
      <c r="Z2045" s="52"/>
      <c r="AA2045" s="52"/>
      <c r="AB2045" s="52"/>
      <c r="AC2045" s="52"/>
      <c r="AD2045" s="52"/>
      <c r="AE2045" s="52"/>
      <c r="AF2045" s="52"/>
      <c r="AG2045" s="52"/>
      <c r="AH2045" s="52"/>
      <c r="AM2045" s="52"/>
      <c r="AN2045" s="52"/>
    </row>
    <row r="2046" spans="16:40" x14ac:dyDescent="0.2">
      <c r="P2046" s="52"/>
      <c r="Q2046" s="52"/>
      <c r="R2046" s="52"/>
      <c r="S2046" s="52"/>
      <c r="T2046" s="52"/>
      <c r="U2046" s="52"/>
      <c r="V2046" s="52"/>
      <c r="W2046" s="52"/>
      <c r="X2046" s="52"/>
      <c r="Y2046" s="52"/>
      <c r="Z2046" s="52"/>
      <c r="AA2046" s="52"/>
      <c r="AB2046" s="52"/>
      <c r="AC2046" s="52"/>
      <c r="AD2046" s="52"/>
      <c r="AE2046" s="52"/>
      <c r="AF2046" s="52"/>
      <c r="AG2046" s="52"/>
      <c r="AH2046" s="52"/>
      <c r="AM2046" s="52"/>
      <c r="AN2046" s="52"/>
    </row>
    <row r="2047" spans="16:40" x14ac:dyDescent="0.2">
      <c r="P2047" s="52"/>
      <c r="Q2047" s="52"/>
      <c r="R2047" s="52"/>
      <c r="S2047" s="52"/>
      <c r="T2047" s="52"/>
      <c r="U2047" s="52"/>
      <c r="V2047" s="52"/>
      <c r="W2047" s="52"/>
      <c r="X2047" s="52"/>
      <c r="Y2047" s="52"/>
      <c r="Z2047" s="52"/>
      <c r="AA2047" s="52"/>
      <c r="AB2047" s="52"/>
      <c r="AC2047" s="52"/>
      <c r="AD2047" s="52"/>
      <c r="AE2047" s="52"/>
      <c r="AF2047" s="52"/>
      <c r="AG2047" s="52"/>
      <c r="AH2047" s="52"/>
      <c r="AM2047" s="52"/>
      <c r="AN2047" s="52"/>
    </row>
    <row r="2048" spans="16:40" x14ac:dyDescent="0.2">
      <c r="P2048" s="52"/>
      <c r="Q2048" s="52"/>
      <c r="R2048" s="52"/>
      <c r="S2048" s="52"/>
      <c r="T2048" s="52"/>
      <c r="U2048" s="52"/>
      <c r="V2048" s="52"/>
      <c r="W2048" s="52"/>
      <c r="X2048" s="52"/>
      <c r="Y2048" s="52"/>
      <c r="Z2048" s="52"/>
      <c r="AA2048" s="52"/>
      <c r="AB2048" s="52"/>
      <c r="AC2048" s="52"/>
      <c r="AD2048" s="52"/>
      <c r="AE2048" s="52"/>
      <c r="AF2048" s="52"/>
      <c r="AG2048" s="52"/>
      <c r="AH2048" s="52"/>
      <c r="AM2048" s="52"/>
      <c r="AN2048" s="52"/>
    </row>
    <row r="2049" spans="16:40" x14ac:dyDescent="0.2">
      <c r="P2049" s="52"/>
      <c r="Q2049" s="52"/>
      <c r="R2049" s="52"/>
      <c r="S2049" s="52"/>
      <c r="T2049" s="52"/>
      <c r="U2049" s="52"/>
      <c r="V2049" s="52"/>
      <c r="W2049" s="52"/>
      <c r="X2049" s="52"/>
      <c r="Y2049" s="52"/>
      <c r="Z2049" s="52"/>
      <c r="AA2049" s="52"/>
      <c r="AB2049" s="52"/>
      <c r="AC2049" s="52"/>
      <c r="AD2049" s="52"/>
      <c r="AE2049" s="52"/>
      <c r="AF2049" s="52"/>
      <c r="AG2049" s="52"/>
      <c r="AH2049" s="52"/>
      <c r="AM2049" s="52"/>
      <c r="AN2049" s="52"/>
    </row>
    <row r="2050" spans="16:40" x14ac:dyDescent="0.2">
      <c r="P2050" s="52"/>
      <c r="Q2050" s="52"/>
      <c r="R2050" s="52"/>
      <c r="S2050" s="52"/>
      <c r="T2050" s="52"/>
      <c r="U2050" s="52"/>
      <c r="V2050" s="52"/>
      <c r="W2050" s="52"/>
      <c r="X2050" s="52"/>
      <c r="Y2050" s="52"/>
      <c r="Z2050" s="52"/>
      <c r="AA2050" s="52"/>
      <c r="AB2050" s="52"/>
      <c r="AC2050" s="52"/>
      <c r="AD2050" s="52"/>
      <c r="AE2050" s="52"/>
      <c r="AF2050" s="52"/>
      <c r="AG2050" s="52"/>
      <c r="AH2050" s="52"/>
      <c r="AM2050" s="52"/>
      <c r="AN2050" s="52"/>
    </row>
    <row r="2051" spans="16:40" x14ac:dyDescent="0.2">
      <c r="P2051" s="52"/>
      <c r="Q2051" s="52"/>
      <c r="R2051" s="52"/>
      <c r="S2051" s="52"/>
      <c r="T2051" s="52"/>
      <c r="U2051" s="52"/>
      <c r="V2051" s="52"/>
      <c r="W2051" s="52"/>
      <c r="X2051" s="52"/>
      <c r="Y2051" s="52"/>
      <c r="Z2051" s="52"/>
      <c r="AA2051" s="52"/>
      <c r="AB2051" s="52"/>
      <c r="AC2051" s="52"/>
      <c r="AD2051" s="52"/>
      <c r="AE2051" s="52"/>
      <c r="AF2051" s="52"/>
      <c r="AG2051" s="52"/>
      <c r="AH2051" s="52"/>
      <c r="AM2051" s="52"/>
      <c r="AN2051" s="52"/>
    </row>
    <row r="2052" spans="16:40" x14ac:dyDescent="0.2">
      <c r="P2052" s="52"/>
      <c r="Q2052" s="52"/>
      <c r="R2052" s="52"/>
      <c r="S2052" s="52"/>
      <c r="T2052" s="52"/>
      <c r="U2052" s="52"/>
      <c r="V2052" s="52"/>
      <c r="W2052" s="52"/>
      <c r="X2052" s="52"/>
      <c r="Y2052" s="52"/>
      <c r="Z2052" s="52"/>
      <c r="AA2052" s="52"/>
      <c r="AB2052" s="52"/>
      <c r="AC2052" s="52"/>
      <c r="AD2052" s="52"/>
      <c r="AE2052" s="52"/>
      <c r="AF2052" s="52"/>
      <c r="AG2052" s="52"/>
      <c r="AH2052" s="52"/>
      <c r="AM2052" s="52"/>
      <c r="AN2052" s="52"/>
    </row>
    <row r="2053" spans="16:40" x14ac:dyDescent="0.2">
      <c r="P2053" s="52"/>
      <c r="Q2053" s="52"/>
      <c r="R2053" s="52"/>
      <c r="S2053" s="52"/>
      <c r="T2053" s="52"/>
      <c r="U2053" s="52"/>
      <c r="V2053" s="52"/>
      <c r="W2053" s="52"/>
      <c r="X2053" s="52"/>
      <c r="Y2053" s="52"/>
      <c r="Z2053" s="52"/>
      <c r="AA2053" s="52"/>
      <c r="AB2053" s="52"/>
      <c r="AC2053" s="52"/>
      <c r="AD2053" s="52"/>
      <c r="AE2053" s="52"/>
      <c r="AF2053" s="52"/>
      <c r="AG2053" s="52"/>
      <c r="AH2053" s="52"/>
      <c r="AM2053" s="52"/>
      <c r="AN2053" s="52"/>
    </row>
    <row r="2054" spans="16:40" x14ac:dyDescent="0.2">
      <c r="P2054" s="52"/>
      <c r="Q2054" s="52"/>
      <c r="R2054" s="52"/>
      <c r="S2054" s="52"/>
      <c r="T2054" s="52"/>
      <c r="U2054" s="52"/>
      <c r="V2054" s="52"/>
      <c r="W2054" s="52"/>
      <c r="X2054" s="52"/>
      <c r="Y2054" s="52"/>
      <c r="Z2054" s="52"/>
      <c r="AA2054" s="52"/>
      <c r="AB2054" s="52"/>
      <c r="AC2054" s="52"/>
      <c r="AD2054" s="52"/>
      <c r="AE2054" s="52"/>
      <c r="AF2054" s="52"/>
      <c r="AG2054" s="52"/>
      <c r="AH2054" s="52"/>
      <c r="AM2054" s="52"/>
      <c r="AN2054" s="52"/>
    </row>
    <row r="2055" spans="16:40" x14ac:dyDescent="0.2">
      <c r="P2055" s="52"/>
      <c r="Q2055" s="52"/>
      <c r="R2055" s="52"/>
      <c r="S2055" s="52"/>
      <c r="T2055" s="52"/>
      <c r="U2055" s="52"/>
      <c r="V2055" s="52"/>
      <c r="W2055" s="52"/>
      <c r="X2055" s="52"/>
      <c r="Y2055" s="52"/>
      <c r="Z2055" s="52"/>
      <c r="AA2055" s="52"/>
      <c r="AB2055" s="52"/>
      <c r="AC2055" s="52"/>
      <c r="AD2055" s="52"/>
      <c r="AE2055" s="52"/>
      <c r="AF2055" s="52"/>
      <c r="AG2055" s="52"/>
      <c r="AH2055" s="52"/>
      <c r="AM2055" s="52"/>
      <c r="AN2055" s="52"/>
    </row>
    <row r="2056" spans="16:40" x14ac:dyDescent="0.2">
      <c r="P2056" s="52"/>
      <c r="Q2056" s="52"/>
      <c r="R2056" s="52"/>
      <c r="S2056" s="52"/>
      <c r="T2056" s="52"/>
      <c r="U2056" s="52"/>
      <c r="V2056" s="52"/>
      <c r="W2056" s="52"/>
      <c r="X2056" s="52"/>
      <c r="Y2056" s="52"/>
      <c r="Z2056" s="52"/>
      <c r="AA2056" s="52"/>
      <c r="AB2056" s="52"/>
      <c r="AC2056" s="52"/>
      <c r="AD2056" s="52"/>
      <c r="AE2056" s="52"/>
      <c r="AF2056" s="52"/>
      <c r="AG2056" s="52"/>
      <c r="AH2056" s="52"/>
      <c r="AM2056" s="52"/>
      <c r="AN2056" s="52"/>
    </row>
    <row r="2057" spans="16:40" x14ac:dyDescent="0.2">
      <c r="P2057" s="52"/>
      <c r="Q2057" s="52"/>
      <c r="R2057" s="52"/>
      <c r="S2057" s="52"/>
      <c r="T2057" s="52"/>
      <c r="U2057" s="52"/>
      <c r="V2057" s="52"/>
      <c r="W2057" s="52"/>
      <c r="X2057" s="52"/>
      <c r="Y2057" s="52"/>
      <c r="Z2057" s="52"/>
      <c r="AA2057" s="52"/>
      <c r="AB2057" s="52"/>
      <c r="AC2057" s="52"/>
      <c r="AD2057" s="52"/>
      <c r="AE2057" s="52"/>
      <c r="AF2057" s="52"/>
      <c r="AG2057" s="52"/>
      <c r="AH2057" s="52"/>
      <c r="AM2057" s="52"/>
      <c r="AN2057" s="52"/>
    </row>
    <row r="2058" spans="16:40" x14ac:dyDescent="0.2">
      <c r="P2058" s="52"/>
      <c r="Q2058" s="52"/>
      <c r="R2058" s="52"/>
      <c r="S2058" s="52"/>
      <c r="T2058" s="52"/>
      <c r="U2058" s="52"/>
      <c r="V2058" s="52"/>
      <c r="W2058" s="52"/>
      <c r="X2058" s="52"/>
      <c r="Y2058" s="52"/>
      <c r="Z2058" s="52"/>
      <c r="AA2058" s="52"/>
      <c r="AB2058" s="52"/>
      <c r="AC2058" s="52"/>
      <c r="AD2058" s="52"/>
      <c r="AE2058" s="52"/>
      <c r="AF2058" s="52"/>
      <c r="AG2058" s="52"/>
      <c r="AH2058" s="52"/>
      <c r="AM2058" s="52"/>
      <c r="AN2058" s="52"/>
    </row>
    <row r="2059" spans="16:40" x14ac:dyDescent="0.2">
      <c r="P2059" s="52"/>
      <c r="Q2059" s="52"/>
      <c r="R2059" s="52"/>
      <c r="S2059" s="52"/>
      <c r="T2059" s="52"/>
      <c r="U2059" s="52"/>
      <c r="V2059" s="52"/>
      <c r="W2059" s="52"/>
      <c r="X2059" s="52"/>
      <c r="Y2059" s="52"/>
      <c r="Z2059" s="52"/>
      <c r="AA2059" s="52"/>
      <c r="AB2059" s="52"/>
      <c r="AC2059" s="52"/>
      <c r="AD2059" s="52"/>
      <c r="AE2059" s="52"/>
      <c r="AF2059" s="52"/>
      <c r="AG2059" s="52"/>
      <c r="AH2059" s="52"/>
      <c r="AM2059" s="52"/>
      <c r="AN2059" s="52"/>
    </row>
    <row r="2060" spans="16:40" x14ac:dyDescent="0.2">
      <c r="P2060" s="52"/>
      <c r="Q2060" s="52"/>
      <c r="R2060" s="52"/>
      <c r="S2060" s="52"/>
      <c r="T2060" s="52"/>
      <c r="U2060" s="52"/>
      <c r="V2060" s="52"/>
      <c r="W2060" s="52"/>
      <c r="X2060" s="52"/>
      <c r="Y2060" s="52"/>
      <c r="Z2060" s="52"/>
      <c r="AA2060" s="52"/>
      <c r="AB2060" s="52"/>
      <c r="AC2060" s="52"/>
      <c r="AD2060" s="52"/>
      <c r="AE2060" s="52"/>
      <c r="AF2060" s="52"/>
      <c r="AG2060" s="52"/>
      <c r="AH2060" s="52"/>
      <c r="AM2060" s="52"/>
      <c r="AN2060" s="52"/>
    </row>
    <row r="2061" spans="16:40" x14ac:dyDescent="0.2">
      <c r="P2061" s="52"/>
      <c r="Q2061" s="52"/>
      <c r="R2061" s="52"/>
      <c r="S2061" s="52"/>
      <c r="T2061" s="52"/>
      <c r="U2061" s="52"/>
      <c r="V2061" s="52"/>
      <c r="W2061" s="52"/>
      <c r="X2061" s="52"/>
      <c r="Y2061" s="52"/>
      <c r="Z2061" s="52"/>
      <c r="AA2061" s="52"/>
      <c r="AB2061" s="52"/>
      <c r="AC2061" s="52"/>
      <c r="AD2061" s="52"/>
      <c r="AE2061" s="52"/>
      <c r="AF2061" s="52"/>
      <c r="AG2061" s="52"/>
      <c r="AH2061" s="52"/>
      <c r="AM2061" s="52"/>
      <c r="AN2061" s="52"/>
    </row>
    <row r="2062" spans="16:40" x14ac:dyDescent="0.2">
      <c r="P2062" s="52"/>
      <c r="Q2062" s="52"/>
      <c r="R2062" s="52"/>
      <c r="S2062" s="52"/>
      <c r="T2062" s="52"/>
      <c r="U2062" s="52"/>
      <c r="V2062" s="52"/>
      <c r="W2062" s="52"/>
      <c r="X2062" s="52"/>
      <c r="Y2062" s="52"/>
      <c r="Z2062" s="52"/>
      <c r="AA2062" s="52"/>
      <c r="AB2062" s="52"/>
      <c r="AC2062" s="52"/>
      <c r="AD2062" s="52"/>
      <c r="AE2062" s="52"/>
      <c r="AF2062" s="52"/>
      <c r="AG2062" s="52"/>
      <c r="AH2062" s="52"/>
      <c r="AM2062" s="52"/>
      <c r="AN2062" s="52"/>
    </row>
    <row r="2063" spans="16:40" x14ac:dyDescent="0.2">
      <c r="P2063" s="52"/>
      <c r="Q2063" s="52"/>
      <c r="R2063" s="52"/>
      <c r="S2063" s="52"/>
      <c r="T2063" s="52"/>
      <c r="U2063" s="52"/>
      <c r="V2063" s="52"/>
      <c r="W2063" s="52"/>
      <c r="X2063" s="52"/>
      <c r="Y2063" s="52"/>
      <c r="Z2063" s="52"/>
      <c r="AA2063" s="52"/>
      <c r="AB2063" s="52"/>
      <c r="AC2063" s="52"/>
      <c r="AD2063" s="52"/>
      <c r="AE2063" s="52"/>
      <c r="AF2063" s="52"/>
      <c r="AG2063" s="52"/>
      <c r="AH2063" s="52"/>
      <c r="AM2063" s="52"/>
      <c r="AN2063" s="52"/>
    </row>
    <row r="2064" spans="16:40" x14ac:dyDescent="0.2">
      <c r="P2064" s="52"/>
      <c r="Q2064" s="52"/>
      <c r="R2064" s="52"/>
      <c r="S2064" s="52"/>
      <c r="T2064" s="52"/>
      <c r="U2064" s="52"/>
      <c r="V2064" s="52"/>
      <c r="W2064" s="52"/>
      <c r="X2064" s="52"/>
      <c r="Y2064" s="52"/>
      <c r="Z2064" s="52"/>
      <c r="AA2064" s="52"/>
      <c r="AB2064" s="52"/>
      <c r="AC2064" s="52"/>
      <c r="AD2064" s="52"/>
      <c r="AE2064" s="52"/>
      <c r="AF2064" s="52"/>
      <c r="AG2064" s="52"/>
      <c r="AH2064" s="52"/>
      <c r="AM2064" s="52"/>
      <c r="AN2064" s="52"/>
    </row>
    <row r="2065" spans="16:40" x14ac:dyDescent="0.2">
      <c r="P2065" s="52"/>
      <c r="Q2065" s="52"/>
      <c r="R2065" s="52"/>
      <c r="S2065" s="52"/>
      <c r="T2065" s="52"/>
      <c r="U2065" s="52"/>
      <c r="V2065" s="52"/>
      <c r="W2065" s="52"/>
      <c r="X2065" s="52"/>
      <c r="Y2065" s="52"/>
      <c r="Z2065" s="52"/>
      <c r="AA2065" s="52"/>
      <c r="AB2065" s="52"/>
      <c r="AC2065" s="52"/>
      <c r="AD2065" s="52"/>
      <c r="AE2065" s="52"/>
      <c r="AF2065" s="52"/>
      <c r="AG2065" s="52"/>
      <c r="AH2065" s="52"/>
      <c r="AM2065" s="52"/>
      <c r="AN2065" s="52"/>
    </row>
    <row r="2066" spans="16:40" x14ac:dyDescent="0.2">
      <c r="P2066" s="52"/>
      <c r="Q2066" s="52"/>
      <c r="R2066" s="52"/>
      <c r="S2066" s="52"/>
      <c r="T2066" s="52"/>
      <c r="U2066" s="52"/>
      <c r="V2066" s="52"/>
      <c r="W2066" s="52"/>
      <c r="X2066" s="52"/>
      <c r="Y2066" s="52"/>
      <c r="Z2066" s="52"/>
      <c r="AA2066" s="52"/>
      <c r="AB2066" s="52"/>
      <c r="AC2066" s="52"/>
      <c r="AD2066" s="52"/>
      <c r="AE2066" s="52"/>
      <c r="AF2066" s="52"/>
      <c r="AG2066" s="52"/>
      <c r="AH2066" s="52"/>
      <c r="AM2066" s="52"/>
      <c r="AN2066" s="52"/>
    </row>
    <row r="2067" spans="16:40" x14ac:dyDescent="0.2">
      <c r="P2067" s="52"/>
      <c r="Q2067" s="52"/>
      <c r="R2067" s="52"/>
      <c r="S2067" s="52"/>
      <c r="T2067" s="52"/>
      <c r="U2067" s="52"/>
      <c r="V2067" s="52"/>
      <c r="W2067" s="52"/>
      <c r="X2067" s="52"/>
      <c r="Y2067" s="52"/>
      <c r="Z2067" s="52"/>
      <c r="AA2067" s="52"/>
      <c r="AB2067" s="52"/>
      <c r="AC2067" s="52"/>
      <c r="AD2067" s="52"/>
      <c r="AE2067" s="52"/>
      <c r="AF2067" s="52"/>
      <c r="AG2067" s="52"/>
      <c r="AH2067" s="52"/>
      <c r="AM2067" s="52"/>
      <c r="AN2067" s="52"/>
    </row>
    <row r="2068" spans="16:40" x14ac:dyDescent="0.2">
      <c r="P2068" s="52"/>
      <c r="Q2068" s="52"/>
      <c r="R2068" s="52"/>
      <c r="S2068" s="52"/>
      <c r="T2068" s="52"/>
      <c r="U2068" s="52"/>
      <c r="V2068" s="52"/>
      <c r="W2068" s="52"/>
      <c r="X2068" s="52"/>
      <c r="Y2068" s="52"/>
      <c r="Z2068" s="52"/>
      <c r="AA2068" s="52"/>
      <c r="AB2068" s="52"/>
      <c r="AC2068" s="52"/>
      <c r="AD2068" s="52"/>
      <c r="AE2068" s="52"/>
      <c r="AF2068" s="52"/>
      <c r="AG2068" s="52"/>
      <c r="AH2068" s="52"/>
      <c r="AM2068" s="52"/>
      <c r="AN2068" s="52"/>
    </row>
    <row r="2069" spans="16:40" x14ac:dyDescent="0.2">
      <c r="P2069" s="52"/>
      <c r="Q2069" s="52"/>
      <c r="R2069" s="52"/>
      <c r="S2069" s="52"/>
      <c r="T2069" s="52"/>
      <c r="U2069" s="52"/>
      <c r="V2069" s="52"/>
      <c r="W2069" s="52"/>
      <c r="X2069" s="52"/>
      <c r="Y2069" s="52"/>
      <c r="Z2069" s="52"/>
      <c r="AA2069" s="52"/>
      <c r="AB2069" s="52"/>
      <c r="AC2069" s="52"/>
      <c r="AD2069" s="52"/>
      <c r="AE2069" s="52"/>
      <c r="AF2069" s="52"/>
      <c r="AG2069" s="52"/>
      <c r="AH2069" s="52"/>
      <c r="AM2069" s="52"/>
      <c r="AN2069" s="52"/>
    </row>
    <row r="2070" spans="16:40" x14ac:dyDescent="0.2">
      <c r="P2070" s="52"/>
      <c r="Q2070" s="52"/>
      <c r="R2070" s="52"/>
      <c r="S2070" s="52"/>
      <c r="T2070" s="52"/>
      <c r="U2070" s="52"/>
      <c r="V2070" s="52"/>
      <c r="W2070" s="52"/>
      <c r="X2070" s="52"/>
      <c r="Y2070" s="52"/>
      <c r="Z2070" s="52"/>
      <c r="AA2070" s="52"/>
      <c r="AB2070" s="52"/>
      <c r="AC2070" s="52"/>
      <c r="AD2070" s="52"/>
      <c r="AE2070" s="52"/>
      <c r="AF2070" s="52"/>
      <c r="AG2070" s="52"/>
      <c r="AH2070" s="52"/>
      <c r="AM2070" s="52"/>
      <c r="AN2070" s="52"/>
    </row>
    <row r="2071" spans="16:40" x14ac:dyDescent="0.2">
      <c r="P2071" s="52"/>
      <c r="Q2071" s="52"/>
      <c r="R2071" s="52"/>
      <c r="S2071" s="52"/>
      <c r="T2071" s="52"/>
      <c r="U2071" s="52"/>
      <c r="V2071" s="52"/>
      <c r="W2071" s="52"/>
      <c r="X2071" s="52"/>
      <c r="Y2071" s="52"/>
      <c r="Z2071" s="52"/>
      <c r="AA2071" s="52"/>
      <c r="AB2071" s="52"/>
      <c r="AC2071" s="52"/>
      <c r="AD2071" s="52"/>
      <c r="AE2071" s="52"/>
      <c r="AF2071" s="52"/>
      <c r="AG2071" s="52"/>
      <c r="AH2071" s="52"/>
      <c r="AM2071" s="52"/>
      <c r="AN2071" s="52"/>
    </row>
    <row r="2072" spans="16:40" x14ac:dyDescent="0.2">
      <c r="P2072" s="52"/>
      <c r="Q2072" s="52"/>
      <c r="R2072" s="52"/>
      <c r="S2072" s="52"/>
      <c r="T2072" s="52"/>
      <c r="U2072" s="52"/>
      <c r="V2072" s="52"/>
      <c r="W2072" s="52"/>
      <c r="X2072" s="52"/>
      <c r="Y2072" s="52"/>
      <c r="Z2072" s="52"/>
      <c r="AA2072" s="52"/>
      <c r="AB2072" s="52"/>
      <c r="AC2072" s="52"/>
      <c r="AD2072" s="52"/>
      <c r="AE2072" s="52"/>
      <c r="AF2072" s="52"/>
      <c r="AG2072" s="52"/>
      <c r="AH2072" s="52"/>
      <c r="AM2072" s="52"/>
      <c r="AN2072" s="52"/>
    </row>
    <row r="2073" spans="16:40" x14ac:dyDescent="0.2">
      <c r="P2073" s="52"/>
      <c r="Q2073" s="52"/>
      <c r="R2073" s="52"/>
      <c r="S2073" s="52"/>
      <c r="T2073" s="52"/>
      <c r="U2073" s="52"/>
      <c r="V2073" s="52"/>
      <c r="W2073" s="52"/>
      <c r="X2073" s="52"/>
      <c r="Y2073" s="52"/>
      <c r="Z2073" s="52"/>
      <c r="AA2073" s="52"/>
      <c r="AB2073" s="52"/>
      <c r="AC2073" s="52"/>
      <c r="AD2073" s="52"/>
      <c r="AE2073" s="52"/>
      <c r="AF2073" s="52"/>
      <c r="AG2073" s="52"/>
      <c r="AH2073" s="52"/>
      <c r="AM2073" s="52"/>
      <c r="AN2073" s="52"/>
    </row>
    <row r="2074" spans="16:40" x14ac:dyDescent="0.2"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2"/>
      <c r="AA2074" s="52"/>
      <c r="AB2074" s="52"/>
      <c r="AC2074" s="52"/>
      <c r="AD2074" s="52"/>
      <c r="AE2074" s="52"/>
      <c r="AF2074" s="52"/>
      <c r="AG2074" s="52"/>
      <c r="AH2074" s="52"/>
      <c r="AM2074" s="52"/>
      <c r="AN2074" s="52"/>
    </row>
    <row r="2075" spans="16:40" x14ac:dyDescent="0.2">
      <c r="P2075" s="52"/>
      <c r="Q2075" s="52"/>
      <c r="R2075" s="52"/>
      <c r="S2075" s="52"/>
      <c r="T2075" s="52"/>
      <c r="U2075" s="52"/>
      <c r="V2075" s="52"/>
      <c r="W2075" s="52"/>
      <c r="X2075" s="52"/>
      <c r="Y2075" s="52"/>
      <c r="Z2075" s="52"/>
      <c r="AA2075" s="52"/>
      <c r="AB2075" s="52"/>
      <c r="AC2075" s="52"/>
      <c r="AD2075" s="52"/>
      <c r="AE2075" s="52"/>
      <c r="AF2075" s="52"/>
      <c r="AG2075" s="52"/>
      <c r="AH2075" s="52"/>
      <c r="AM2075" s="52"/>
      <c r="AN2075" s="52"/>
    </row>
    <row r="2076" spans="16:40" x14ac:dyDescent="0.2">
      <c r="P2076" s="52"/>
      <c r="Q2076" s="52"/>
      <c r="R2076" s="52"/>
      <c r="S2076" s="52"/>
      <c r="T2076" s="52"/>
      <c r="U2076" s="52"/>
      <c r="V2076" s="52"/>
      <c r="W2076" s="52"/>
      <c r="X2076" s="52"/>
      <c r="Y2076" s="52"/>
      <c r="Z2076" s="52"/>
      <c r="AA2076" s="52"/>
      <c r="AB2076" s="52"/>
      <c r="AC2076" s="52"/>
      <c r="AD2076" s="52"/>
      <c r="AE2076" s="52"/>
      <c r="AF2076" s="52"/>
      <c r="AG2076" s="52"/>
      <c r="AH2076" s="52"/>
      <c r="AM2076" s="52"/>
      <c r="AN2076" s="52"/>
    </row>
    <row r="2077" spans="16:40" x14ac:dyDescent="0.2">
      <c r="P2077" s="52"/>
      <c r="Q2077" s="52"/>
      <c r="R2077" s="52"/>
      <c r="S2077" s="52"/>
      <c r="T2077" s="52"/>
      <c r="U2077" s="52"/>
      <c r="V2077" s="52"/>
      <c r="W2077" s="52"/>
      <c r="X2077" s="52"/>
      <c r="Y2077" s="52"/>
      <c r="Z2077" s="52"/>
      <c r="AA2077" s="52"/>
      <c r="AB2077" s="52"/>
      <c r="AC2077" s="52"/>
      <c r="AD2077" s="52"/>
      <c r="AE2077" s="52"/>
      <c r="AF2077" s="52"/>
      <c r="AG2077" s="52"/>
      <c r="AH2077" s="52"/>
      <c r="AM2077" s="52"/>
      <c r="AN2077" s="52"/>
    </row>
    <row r="2078" spans="16:40" x14ac:dyDescent="0.2">
      <c r="P2078" s="52"/>
      <c r="Q2078" s="52"/>
      <c r="R2078" s="52"/>
      <c r="S2078" s="52"/>
      <c r="T2078" s="52"/>
      <c r="U2078" s="52"/>
      <c r="V2078" s="52"/>
      <c r="W2078" s="52"/>
      <c r="X2078" s="52"/>
      <c r="Y2078" s="52"/>
      <c r="Z2078" s="52"/>
      <c r="AA2078" s="52"/>
      <c r="AB2078" s="52"/>
      <c r="AC2078" s="52"/>
      <c r="AD2078" s="52"/>
      <c r="AE2078" s="52"/>
      <c r="AF2078" s="52"/>
      <c r="AG2078" s="52"/>
      <c r="AH2078" s="52"/>
      <c r="AM2078" s="52"/>
      <c r="AN2078" s="52"/>
    </row>
    <row r="2079" spans="16:40" x14ac:dyDescent="0.2">
      <c r="P2079" s="52"/>
      <c r="Q2079" s="52"/>
      <c r="R2079" s="52"/>
      <c r="S2079" s="52"/>
      <c r="T2079" s="52"/>
      <c r="U2079" s="52"/>
      <c r="V2079" s="52"/>
      <c r="W2079" s="52"/>
      <c r="X2079" s="52"/>
      <c r="Y2079" s="52"/>
      <c r="Z2079" s="52"/>
      <c r="AA2079" s="52"/>
      <c r="AB2079" s="52"/>
      <c r="AC2079" s="52"/>
      <c r="AD2079" s="52"/>
      <c r="AE2079" s="52"/>
      <c r="AF2079" s="52"/>
      <c r="AG2079" s="52"/>
      <c r="AH2079" s="52"/>
      <c r="AM2079" s="52"/>
      <c r="AN2079" s="52"/>
    </row>
    <row r="2080" spans="16:40" x14ac:dyDescent="0.2">
      <c r="P2080" s="52"/>
      <c r="Q2080" s="52"/>
      <c r="R2080" s="52"/>
      <c r="S2080" s="52"/>
      <c r="T2080" s="52"/>
      <c r="U2080" s="52"/>
      <c r="V2080" s="52"/>
      <c r="W2080" s="52"/>
      <c r="X2080" s="52"/>
      <c r="Y2080" s="52"/>
      <c r="Z2080" s="52"/>
      <c r="AA2080" s="52"/>
      <c r="AB2080" s="52"/>
      <c r="AC2080" s="52"/>
      <c r="AD2080" s="52"/>
      <c r="AE2080" s="52"/>
      <c r="AF2080" s="52"/>
      <c r="AG2080" s="52"/>
      <c r="AH2080" s="52"/>
      <c r="AM2080" s="52"/>
      <c r="AN2080" s="52"/>
    </row>
    <row r="2081" spans="16:40" x14ac:dyDescent="0.2">
      <c r="P2081" s="52"/>
      <c r="Q2081" s="52"/>
      <c r="R2081" s="52"/>
      <c r="S2081" s="52"/>
      <c r="T2081" s="52"/>
      <c r="U2081" s="52"/>
      <c r="V2081" s="52"/>
      <c r="W2081" s="52"/>
      <c r="X2081" s="52"/>
      <c r="Y2081" s="52"/>
      <c r="Z2081" s="52"/>
      <c r="AA2081" s="52"/>
      <c r="AB2081" s="52"/>
      <c r="AC2081" s="52"/>
      <c r="AD2081" s="52"/>
      <c r="AE2081" s="52"/>
      <c r="AF2081" s="52"/>
      <c r="AG2081" s="52"/>
      <c r="AH2081" s="52"/>
      <c r="AM2081" s="52"/>
      <c r="AN2081" s="52"/>
    </row>
    <row r="2082" spans="16:40" x14ac:dyDescent="0.2">
      <c r="P2082" s="52"/>
      <c r="Q2082" s="52"/>
      <c r="R2082" s="52"/>
      <c r="S2082" s="52"/>
      <c r="T2082" s="52"/>
      <c r="U2082" s="52"/>
      <c r="V2082" s="52"/>
      <c r="W2082" s="52"/>
      <c r="X2082" s="52"/>
      <c r="Y2082" s="52"/>
      <c r="Z2082" s="52"/>
      <c r="AA2082" s="52"/>
      <c r="AB2082" s="52"/>
      <c r="AC2082" s="52"/>
      <c r="AD2082" s="52"/>
      <c r="AE2082" s="52"/>
      <c r="AF2082" s="52"/>
      <c r="AG2082" s="52"/>
      <c r="AH2082" s="52"/>
      <c r="AM2082" s="52"/>
      <c r="AN2082" s="52"/>
    </row>
    <row r="2083" spans="16:40" x14ac:dyDescent="0.2">
      <c r="P2083" s="52"/>
      <c r="Q2083" s="52"/>
      <c r="R2083" s="52"/>
      <c r="S2083" s="52"/>
      <c r="T2083" s="52"/>
      <c r="U2083" s="52"/>
      <c r="V2083" s="52"/>
      <c r="W2083" s="52"/>
      <c r="X2083" s="52"/>
      <c r="Y2083" s="52"/>
      <c r="Z2083" s="52"/>
      <c r="AA2083" s="52"/>
      <c r="AB2083" s="52"/>
      <c r="AC2083" s="52"/>
      <c r="AD2083" s="52"/>
      <c r="AE2083" s="52"/>
      <c r="AF2083" s="52"/>
      <c r="AG2083" s="52"/>
      <c r="AH2083" s="52"/>
      <c r="AM2083" s="52"/>
      <c r="AN2083" s="52"/>
    </row>
    <row r="2084" spans="16:40" x14ac:dyDescent="0.2">
      <c r="P2084" s="52"/>
      <c r="Q2084" s="52"/>
      <c r="R2084" s="52"/>
      <c r="S2084" s="52"/>
      <c r="T2084" s="52"/>
      <c r="U2084" s="52"/>
      <c r="V2084" s="52"/>
      <c r="W2084" s="52"/>
      <c r="X2084" s="52"/>
      <c r="Y2084" s="52"/>
      <c r="Z2084" s="52"/>
      <c r="AA2084" s="52"/>
      <c r="AB2084" s="52"/>
      <c r="AC2084" s="52"/>
      <c r="AD2084" s="52"/>
      <c r="AE2084" s="52"/>
      <c r="AF2084" s="52"/>
      <c r="AG2084" s="52"/>
      <c r="AH2084" s="52"/>
      <c r="AM2084" s="52"/>
      <c r="AN2084" s="52"/>
    </row>
    <row r="2085" spans="16:40" x14ac:dyDescent="0.2">
      <c r="P2085" s="52"/>
      <c r="Q2085" s="52"/>
      <c r="R2085" s="52"/>
      <c r="S2085" s="52"/>
      <c r="T2085" s="52"/>
      <c r="U2085" s="52"/>
      <c r="V2085" s="52"/>
      <c r="W2085" s="52"/>
      <c r="X2085" s="52"/>
      <c r="Y2085" s="52"/>
      <c r="Z2085" s="52"/>
      <c r="AA2085" s="52"/>
      <c r="AB2085" s="52"/>
      <c r="AC2085" s="52"/>
      <c r="AD2085" s="52"/>
      <c r="AE2085" s="52"/>
      <c r="AF2085" s="52"/>
      <c r="AG2085" s="52"/>
      <c r="AH2085" s="52"/>
      <c r="AM2085" s="52"/>
      <c r="AN2085" s="52"/>
    </row>
    <row r="2086" spans="16:40" x14ac:dyDescent="0.2">
      <c r="P2086" s="52"/>
      <c r="Q2086" s="52"/>
      <c r="R2086" s="52"/>
      <c r="S2086" s="52"/>
      <c r="T2086" s="52"/>
      <c r="U2086" s="52"/>
      <c r="V2086" s="52"/>
      <c r="W2086" s="52"/>
      <c r="X2086" s="52"/>
      <c r="Y2086" s="52"/>
      <c r="Z2086" s="52"/>
      <c r="AA2086" s="52"/>
      <c r="AB2086" s="52"/>
      <c r="AC2086" s="52"/>
      <c r="AD2086" s="52"/>
      <c r="AE2086" s="52"/>
      <c r="AF2086" s="52"/>
      <c r="AG2086" s="52"/>
      <c r="AH2086" s="52"/>
      <c r="AM2086" s="52"/>
      <c r="AN2086" s="52"/>
    </row>
    <row r="2087" spans="16:40" x14ac:dyDescent="0.2">
      <c r="P2087" s="52"/>
      <c r="Q2087" s="52"/>
      <c r="R2087" s="52"/>
      <c r="S2087" s="52"/>
      <c r="T2087" s="52"/>
      <c r="U2087" s="52"/>
      <c r="V2087" s="52"/>
      <c r="W2087" s="52"/>
      <c r="X2087" s="52"/>
      <c r="Y2087" s="52"/>
      <c r="Z2087" s="52"/>
      <c r="AA2087" s="52"/>
      <c r="AB2087" s="52"/>
      <c r="AC2087" s="52"/>
      <c r="AD2087" s="52"/>
      <c r="AE2087" s="52"/>
      <c r="AF2087" s="52"/>
      <c r="AG2087" s="52"/>
      <c r="AH2087" s="52"/>
      <c r="AM2087" s="52"/>
      <c r="AN2087" s="52"/>
    </row>
    <row r="2088" spans="16:40" x14ac:dyDescent="0.2">
      <c r="P2088" s="52"/>
      <c r="Q2088" s="52"/>
      <c r="R2088" s="52"/>
      <c r="S2088" s="52"/>
      <c r="T2088" s="52"/>
      <c r="U2088" s="52"/>
      <c r="V2088" s="52"/>
      <c r="W2088" s="52"/>
      <c r="X2088" s="52"/>
      <c r="Y2088" s="52"/>
      <c r="Z2088" s="52"/>
      <c r="AA2088" s="52"/>
      <c r="AB2088" s="52"/>
      <c r="AC2088" s="52"/>
      <c r="AD2088" s="52"/>
      <c r="AE2088" s="52"/>
      <c r="AF2088" s="52"/>
      <c r="AG2088" s="52"/>
      <c r="AH2088" s="52"/>
      <c r="AM2088" s="52"/>
      <c r="AN2088" s="52"/>
    </row>
    <row r="2089" spans="16:40" x14ac:dyDescent="0.2">
      <c r="P2089" s="52"/>
      <c r="Q2089" s="52"/>
      <c r="R2089" s="52"/>
      <c r="S2089" s="52"/>
      <c r="T2089" s="52"/>
      <c r="U2089" s="52"/>
      <c r="V2089" s="52"/>
      <c r="W2089" s="52"/>
      <c r="X2089" s="52"/>
      <c r="Y2089" s="52"/>
      <c r="Z2089" s="52"/>
      <c r="AA2089" s="52"/>
      <c r="AB2089" s="52"/>
      <c r="AC2089" s="52"/>
      <c r="AD2089" s="52"/>
      <c r="AE2089" s="52"/>
      <c r="AF2089" s="52"/>
      <c r="AG2089" s="52"/>
      <c r="AH2089" s="52"/>
      <c r="AM2089" s="52"/>
      <c r="AN2089" s="52"/>
    </row>
    <row r="2090" spans="16:40" x14ac:dyDescent="0.2">
      <c r="P2090" s="52"/>
      <c r="Q2090" s="52"/>
      <c r="R2090" s="52"/>
      <c r="S2090" s="52"/>
      <c r="T2090" s="52"/>
      <c r="U2090" s="52"/>
      <c r="V2090" s="52"/>
      <c r="W2090" s="52"/>
      <c r="X2090" s="52"/>
      <c r="Y2090" s="52"/>
      <c r="Z2090" s="52"/>
      <c r="AA2090" s="52"/>
      <c r="AB2090" s="52"/>
      <c r="AC2090" s="52"/>
      <c r="AD2090" s="52"/>
      <c r="AE2090" s="52"/>
      <c r="AF2090" s="52"/>
      <c r="AG2090" s="52"/>
      <c r="AH2090" s="52"/>
      <c r="AM2090" s="52"/>
      <c r="AN2090" s="52"/>
    </row>
    <row r="2091" spans="16:40" x14ac:dyDescent="0.2">
      <c r="P2091" s="52"/>
      <c r="Q2091" s="52"/>
      <c r="R2091" s="52"/>
      <c r="S2091" s="52"/>
      <c r="T2091" s="52"/>
      <c r="U2091" s="52"/>
      <c r="V2091" s="52"/>
      <c r="W2091" s="52"/>
      <c r="X2091" s="52"/>
      <c r="Y2091" s="52"/>
      <c r="Z2091" s="52"/>
      <c r="AA2091" s="52"/>
      <c r="AB2091" s="52"/>
      <c r="AC2091" s="52"/>
      <c r="AD2091" s="52"/>
      <c r="AE2091" s="52"/>
      <c r="AF2091" s="52"/>
      <c r="AG2091" s="52"/>
      <c r="AH2091" s="52"/>
      <c r="AM2091" s="52"/>
      <c r="AN2091" s="52"/>
    </row>
    <row r="2092" spans="16:40" x14ac:dyDescent="0.2">
      <c r="P2092" s="52"/>
      <c r="Q2092" s="52"/>
      <c r="R2092" s="52"/>
      <c r="S2092" s="52"/>
      <c r="T2092" s="52"/>
      <c r="U2092" s="52"/>
      <c r="V2092" s="52"/>
      <c r="W2092" s="52"/>
      <c r="X2092" s="52"/>
      <c r="Y2092" s="52"/>
      <c r="Z2092" s="52"/>
      <c r="AA2092" s="52"/>
      <c r="AB2092" s="52"/>
      <c r="AC2092" s="52"/>
      <c r="AD2092" s="52"/>
      <c r="AE2092" s="52"/>
      <c r="AF2092" s="52"/>
      <c r="AG2092" s="52"/>
      <c r="AH2092" s="52"/>
      <c r="AM2092" s="52"/>
      <c r="AN2092" s="52"/>
    </row>
    <row r="2093" spans="16:40" x14ac:dyDescent="0.2">
      <c r="P2093" s="52"/>
      <c r="Q2093" s="52"/>
      <c r="R2093" s="52"/>
      <c r="S2093" s="52"/>
      <c r="T2093" s="52"/>
      <c r="U2093" s="52"/>
      <c r="V2093" s="52"/>
      <c r="W2093" s="52"/>
      <c r="X2093" s="52"/>
      <c r="Y2093" s="52"/>
      <c r="Z2093" s="52"/>
      <c r="AA2093" s="52"/>
      <c r="AB2093" s="52"/>
      <c r="AC2093" s="52"/>
      <c r="AD2093" s="52"/>
      <c r="AE2093" s="52"/>
      <c r="AF2093" s="52"/>
      <c r="AG2093" s="52"/>
      <c r="AH2093" s="52"/>
      <c r="AM2093" s="52"/>
      <c r="AN2093" s="52"/>
    </row>
    <row r="2094" spans="16:40" x14ac:dyDescent="0.2">
      <c r="P2094" s="52"/>
      <c r="Q2094" s="52"/>
      <c r="R2094" s="52"/>
      <c r="S2094" s="52"/>
      <c r="T2094" s="52"/>
      <c r="U2094" s="52"/>
      <c r="V2094" s="52"/>
      <c r="W2094" s="52"/>
      <c r="X2094" s="52"/>
      <c r="Y2094" s="52"/>
      <c r="Z2094" s="52"/>
      <c r="AA2094" s="52"/>
      <c r="AB2094" s="52"/>
      <c r="AC2094" s="52"/>
      <c r="AD2094" s="52"/>
      <c r="AE2094" s="52"/>
      <c r="AF2094" s="52"/>
      <c r="AG2094" s="52"/>
      <c r="AH2094" s="52"/>
      <c r="AM2094" s="52"/>
      <c r="AN2094" s="52"/>
    </row>
    <row r="2095" spans="16:40" x14ac:dyDescent="0.2">
      <c r="P2095" s="52"/>
      <c r="Q2095" s="52"/>
      <c r="R2095" s="52"/>
      <c r="S2095" s="52"/>
      <c r="T2095" s="52"/>
      <c r="U2095" s="52"/>
      <c r="V2095" s="52"/>
      <c r="W2095" s="52"/>
      <c r="X2095" s="52"/>
      <c r="Y2095" s="52"/>
      <c r="Z2095" s="52"/>
      <c r="AA2095" s="52"/>
      <c r="AB2095" s="52"/>
      <c r="AC2095" s="52"/>
      <c r="AD2095" s="52"/>
      <c r="AE2095" s="52"/>
      <c r="AF2095" s="52"/>
      <c r="AG2095" s="52"/>
      <c r="AH2095" s="52"/>
      <c r="AM2095" s="52"/>
      <c r="AN2095" s="52"/>
    </row>
    <row r="2096" spans="16:40" x14ac:dyDescent="0.2">
      <c r="P2096" s="52"/>
      <c r="Q2096" s="52"/>
      <c r="R2096" s="52"/>
      <c r="S2096" s="52"/>
      <c r="T2096" s="52"/>
      <c r="U2096" s="52"/>
      <c r="V2096" s="52"/>
      <c r="W2096" s="52"/>
      <c r="X2096" s="52"/>
      <c r="Y2096" s="52"/>
      <c r="Z2096" s="52"/>
      <c r="AA2096" s="52"/>
      <c r="AB2096" s="52"/>
      <c r="AC2096" s="52"/>
      <c r="AD2096" s="52"/>
      <c r="AE2096" s="52"/>
      <c r="AF2096" s="52"/>
      <c r="AG2096" s="52"/>
      <c r="AH2096" s="52"/>
      <c r="AM2096" s="52"/>
      <c r="AN2096" s="52"/>
    </row>
    <row r="2097" spans="16:40" x14ac:dyDescent="0.2">
      <c r="P2097" s="52"/>
      <c r="Q2097" s="52"/>
      <c r="R2097" s="52"/>
      <c r="S2097" s="52"/>
      <c r="T2097" s="52"/>
      <c r="U2097" s="52"/>
      <c r="V2097" s="52"/>
      <c r="W2097" s="52"/>
      <c r="X2097" s="52"/>
      <c r="Y2097" s="52"/>
      <c r="Z2097" s="52"/>
      <c r="AA2097" s="52"/>
      <c r="AB2097" s="52"/>
      <c r="AC2097" s="52"/>
      <c r="AD2097" s="52"/>
      <c r="AE2097" s="52"/>
      <c r="AF2097" s="52"/>
      <c r="AG2097" s="52"/>
      <c r="AH2097" s="52"/>
      <c r="AM2097" s="52"/>
      <c r="AN2097" s="52"/>
    </row>
    <row r="2098" spans="16:40" x14ac:dyDescent="0.2">
      <c r="P2098" s="52"/>
      <c r="Q2098" s="52"/>
      <c r="R2098" s="52"/>
      <c r="S2098" s="52"/>
      <c r="T2098" s="52"/>
      <c r="U2098" s="52"/>
      <c r="V2098" s="52"/>
      <c r="W2098" s="52"/>
      <c r="X2098" s="52"/>
      <c r="Y2098" s="52"/>
      <c r="Z2098" s="52"/>
      <c r="AA2098" s="52"/>
      <c r="AB2098" s="52"/>
      <c r="AC2098" s="52"/>
      <c r="AD2098" s="52"/>
      <c r="AE2098" s="52"/>
      <c r="AF2098" s="52"/>
      <c r="AG2098" s="52"/>
      <c r="AH2098" s="52"/>
      <c r="AM2098" s="52"/>
      <c r="AN2098" s="52"/>
    </row>
    <row r="2099" spans="16:40" x14ac:dyDescent="0.2">
      <c r="P2099" s="52"/>
      <c r="Q2099" s="52"/>
      <c r="R2099" s="52"/>
      <c r="S2099" s="52"/>
      <c r="T2099" s="52"/>
      <c r="U2099" s="52"/>
      <c r="V2099" s="52"/>
      <c r="W2099" s="52"/>
      <c r="X2099" s="52"/>
      <c r="Y2099" s="52"/>
      <c r="Z2099" s="52"/>
      <c r="AA2099" s="52"/>
      <c r="AB2099" s="52"/>
      <c r="AC2099" s="52"/>
      <c r="AD2099" s="52"/>
      <c r="AE2099" s="52"/>
      <c r="AF2099" s="52"/>
      <c r="AG2099" s="52"/>
      <c r="AH2099" s="52"/>
      <c r="AM2099" s="52"/>
      <c r="AN2099" s="52"/>
    </row>
    <row r="2100" spans="16:40" x14ac:dyDescent="0.2">
      <c r="P2100" s="52"/>
      <c r="Q2100" s="52"/>
      <c r="R2100" s="52"/>
      <c r="S2100" s="52"/>
      <c r="T2100" s="52"/>
      <c r="U2100" s="52"/>
      <c r="V2100" s="52"/>
      <c r="W2100" s="52"/>
      <c r="X2100" s="52"/>
      <c r="Y2100" s="52"/>
      <c r="Z2100" s="52"/>
      <c r="AA2100" s="52"/>
      <c r="AB2100" s="52"/>
      <c r="AC2100" s="52"/>
      <c r="AD2100" s="52"/>
      <c r="AE2100" s="52"/>
      <c r="AF2100" s="52"/>
      <c r="AG2100" s="52"/>
      <c r="AH2100" s="52"/>
      <c r="AM2100" s="52"/>
      <c r="AN2100" s="52"/>
    </row>
    <row r="2101" spans="16:40" x14ac:dyDescent="0.2">
      <c r="P2101" s="52"/>
      <c r="Q2101" s="52"/>
      <c r="R2101" s="52"/>
      <c r="S2101" s="52"/>
      <c r="T2101" s="52"/>
      <c r="U2101" s="52"/>
      <c r="V2101" s="52"/>
      <c r="W2101" s="52"/>
      <c r="X2101" s="52"/>
      <c r="Y2101" s="52"/>
      <c r="Z2101" s="52"/>
      <c r="AA2101" s="52"/>
      <c r="AB2101" s="52"/>
      <c r="AC2101" s="52"/>
      <c r="AD2101" s="52"/>
      <c r="AE2101" s="52"/>
      <c r="AF2101" s="52"/>
      <c r="AG2101" s="52"/>
      <c r="AH2101" s="52"/>
      <c r="AM2101" s="52"/>
      <c r="AN2101" s="52"/>
    </row>
    <row r="2102" spans="16:40" x14ac:dyDescent="0.2">
      <c r="P2102" s="52"/>
      <c r="Q2102" s="52"/>
      <c r="R2102" s="52"/>
      <c r="S2102" s="52"/>
      <c r="T2102" s="52"/>
      <c r="U2102" s="52"/>
      <c r="V2102" s="52"/>
      <c r="W2102" s="52"/>
      <c r="X2102" s="52"/>
      <c r="Y2102" s="52"/>
      <c r="Z2102" s="52"/>
      <c r="AA2102" s="52"/>
      <c r="AB2102" s="52"/>
      <c r="AC2102" s="52"/>
      <c r="AD2102" s="52"/>
      <c r="AE2102" s="52"/>
      <c r="AF2102" s="52"/>
      <c r="AG2102" s="52"/>
      <c r="AH2102" s="52"/>
      <c r="AM2102" s="52"/>
      <c r="AN2102" s="52"/>
    </row>
    <row r="2103" spans="16:40" x14ac:dyDescent="0.2">
      <c r="P2103" s="52"/>
      <c r="Q2103" s="52"/>
      <c r="R2103" s="52"/>
      <c r="S2103" s="52"/>
      <c r="T2103" s="52"/>
      <c r="U2103" s="52"/>
      <c r="V2103" s="52"/>
      <c r="W2103" s="52"/>
      <c r="X2103" s="52"/>
      <c r="Y2103" s="52"/>
      <c r="Z2103" s="52"/>
      <c r="AA2103" s="52"/>
      <c r="AB2103" s="52"/>
      <c r="AC2103" s="52"/>
      <c r="AD2103" s="52"/>
      <c r="AE2103" s="52"/>
      <c r="AF2103" s="52"/>
      <c r="AG2103" s="52"/>
      <c r="AH2103" s="52"/>
      <c r="AM2103" s="52"/>
      <c r="AN2103" s="52"/>
    </row>
    <row r="2104" spans="16:40" x14ac:dyDescent="0.2">
      <c r="P2104" s="52"/>
      <c r="Q2104" s="52"/>
      <c r="R2104" s="52"/>
      <c r="S2104" s="52"/>
      <c r="T2104" s="52"/>
      <c r="U2104" s="52"/>
      <c r="V2104" s="52"/>
      <c r="W2104" s="52"/>
      <c r="X2104" s="52"/>
      <c r="Y2104" s="52"/>
      <c r="Z2104" s="52"/>
      <c r="AA2104" s="52"/>
      <c r="AB2104" s="52"/>
      <c r="AC2104" s="52"/>
      <c r="AD2104" s="52"/>
      <c r="AE2104" s="52"/>
      <c r="AF2104" s="52"/>
      <c r="AG2104" s="52"/>
      <c r="AH2104" s="52"/>
      <c r="AM2104" s="52"/>
      <c r="AN2104" s="52"/>
    </row>
    <row r="2105" spans="16:40" x14ac:dyDescent="0.2">
      <c r="P2105" s="52"/>
      <c r="Q2105" s="52"/>
      <c r="R2105" s="52"/>
      <c r="S2105" s="52"/>
      <c r="T2105" s="52"/>
      <c r="U2105" s="52"/>
      <c r="V2105" s="52"/>
      <c r="W2105" s="52"/>
      <c r="X2105" s="52"/>
      <c r="Y2105" s="52"/>
      <c r="Z2105" s="52"/>
      <c r="AA2105" s="52"/>
      <c r="AB2105" s="52"/>
      <c r="AC2105" s="52"/>
      <c r="AD2105" s="52"/>
      <c r="AE2105" s="52"/>
      <c r="AF2105" s="52"/>
      <c r="AG2105" s="52"/>
      <c r="AH2105" s="52"/>
      <c r="AM2105" s="52"/>
      <c r="AN2105" s="52"/>
    </row>
    <row r="2106" spans="16:40" x14ac:dyDescent="0.2">
      <c r="P2106" s="52"/>
      <c r="Q2106" s="52"/>
      <c r="R2106" s="52"/>
      <c r="S2106" s="52"/>
      <c r="T2106" s="52"/>
      <c r="U2106" s="52"/>
      <c r="V2106" s="52"/>
      <c r="W2106" s="52"/>
      <c r="X2106" s="52"/>
      <c r="Y2106" s="52"/>
      <c r="Z2106" s="52"/>
      <c r="AA2106" s="52"/>
      <c r="AB2106" s="52"/>
      <c r="AC2106" s="52"/>
      <c r="AD2106" s="52"/>
      <c r="AE2106" s="52"/>
      <c r="AF2106" s="52"/>
      <c r="AG2106" s="52"/>
      <c r="AH2106" s="52"/>
      <c r="AM2106" s="52"/>
      <c r="AN2106" s="52"/>
    </row>
    <row r="2107" spans="16:40" x14ac:dyDescent="0.2">
      <c r="P2107" s="52"/>
      <c r="Q2107" s="52"/>
      <c r="R2107" s="52"/>
      <c r="S2107" s="52"/>
      <c r="T2107" s="52"/>
      <c r="U2107" s="52"/>
      <c r="V2107" s="52"/>
      <c r="W2107" s="52"/>
      <c r="X2107" s="52"/>
      <c r="Y2107" s="52"/>
      <c r="Z2107" s="52"/>
      <c r="AA2107" s="52"/>
      <c r="AB2107" s="52"/>
      <c r="AC2107" s="52"/>
      <c r="AD2107" s="52"/>
      <c r="AE2107" s="52"/>
      <c r="AF2107" s="52"/>
      <c r="AG2107" s="52"/>
      <c r="AH2107" s="52"/>
      <c r="AM2107" s="52"/>
      <c r="AN2107" s="52"/>
    </row>
    <row r="2108" spans="16:40" x14ac:dyDescent="0.2">
      <c r="P2108" s="52"/>
      <c r="Q2108" s="52"/>
      <c r="R2108" s="52"/>
      <c r="S2108" s="52"/>
      <c r="T2108" s="52"/>
      <c r="U2108" s="52"/>
      <c r="V2108" s="52"/>
      <c r="W2108" s="52"/>
      <c r="X2108" s="52"/>
      <c r="Y2108" s="52"/>
      <c r="Z2108" s="52"/>
      <c r="AA2108" s="52"/>
      <c r="AB2108" s="52"/>
      <c r="AC2108" s="52"/>
      <c r="AD2108" s="52"/>
      <c r="AE2108" s="52"/>
      <c r="AF2108" s="52"/>
      <c r="AG2108" s="52"/>
      <c r="AH2108" s="52"/>
      <c r="AM2108" s="52"/>
      <c r="AN2108" s="52"/>
    </row>
    <row r="2109" spans="16:40" x14ac:dyDescent="0.2">
      <c r="P2109" s="52"/>
      <c r="Q2109" s="52"/>
      <c r="R2109" s="52"/>
      <c r="S2109" s="52"/>
      <c r="T2109" s="52"/>
      <c r="U2109" s="52"/>
      <c r="V2109" s="52"/>
      <c r="W2109" s="52"/>
      <c r="X2109" s="52"/>
      <c r="Y2109" s="52"/>
      <c r="Z2109" s="52"/>
      <c r="AA2109" s="52"/>
      <c r="AB2109" s="52"/>
      <c r="AC2109" s="52"/>
      <c r="AD2109" s="52"/>
      <c r="AE2109" s="52"/>
      <c r="AF2109" s="52"/>
      <c r="AG2109" s="52"/>
      <c r="AH2109" s="52"/>
      <c r="AM2109" s="52"/>
      <c r="AN2109" s="52"/>
    </row>
    <row r="2110" spans="16:40" x14ac:dyDescent="0.2">
      <c r="P2110" s="52"/>
      <c r="Q2110" s="52"/>
      <c r="R2110" s="52"/>
      <c r="S2110" s="52"/>
      <c r="T2110" s="52"/>
      <c r="U2110" s="52"/>
      <c r="V2110" s="52"/>
      <c r="W2110" s="52"/>
      <c r="X2110" s="52"/>
      <c r="Y2110" s="52"/>
      <c r="Z2110" s="52"/>
      <c r="AA2110" s="52"/>
      <c r="AB2110" s="52"/>
      <c r="AC2110" s="52"/>
      <c r="AD2110" s="52"/>
      <c r="AE2110" s="52"/>
      <c r="AF2110" s="52"/>
      <c r="AG2110" s="52"/>
      <c r="AH2110" s="52"/>
      <c r="AM2110" s="52"/>
      <c r="AN2110" s="52"/>
    </row>
    <row r="2111" spans="16:40" x14ac:dyDescent="0.2">
      <c r="P2111" s="52"/>
      <c r="Q2111" s="52"/>
      <c r="R2111" s="52"/>
      <c r="S2111" s="52"/>
      <c r="T2111" s="52"/>
      <c r="U2111" s="52"/>
      <c r="V2111" s="52"/>
      <c r="W2111" s="52"/>
      <c r="X2111" s="52"/>
      <c r="Y2111" s="52"/>
      <c r="Z2111" s="52"/>
      <c r="AA2111" s="52"/>
      <c r="AB2111" s="52"/>
      <c r="AC2111" s="52"/>
      <c r="AD2111" s="52"/>
      <c r="AE2111" s="52"/>
      <c r="AF2111" s="52"/>
      <c r="AG2111" s="52"/>
      <c r="AH2111" s="52"/>
      <c r="AM2111" s="52"/>
      <c r="AN2111" s="52"/>
    </row>
    <row r="2112" spans="16:40" x14ac:dyDescent="0.2"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2"/>
      <c r="AA2112" s="52"/>
      <c r="AB2112" s="52"/>
      <c r="AC2112" s="52"/>
      <c r="AD2112" s="52"/>
      <c r="AE2112" s="52"/>
      <c r="AF2112" s="52"/>
      <c r="AG2112" s="52"/>
      <c r="AH2112" s="52"/>
      <c r="AM2112" s="52"/>
      <c r="AN2112" s="52"/>
    </row>
    <row r="2113" spans="16:40" x14ac:dyDescent="0.2">
      <c r="P2113" s="52"/>
      <c r="Q2113" s="52"/>
      <c r="R2113" s="52"/>
      <c r="S2113" s="52"/>
      <c r="T2113" s="52"/>
      <c r="U2113" s="52"/>
      <c r="V2113" s="52"/>
      <c r="W2113" s="52"/>
      <c r="X2113" s="52"/>
      <c r="Y2113" s="52"/>
      <c r="Z2113" s="52"/>
      <c r="AA2113" s="52"/>
      <c r="AB2113" s="52"/>
      <c r="AC2113" s="52"/>
      <c r="AD2113" s="52"/>
      <c r="AE2113" s="52"/>
      <c r="AF2113" s="52"/>
      <c r="AG2113" s="52"/>
      <c r="AH2113" s="52"/>
      <c r="AM2113" s="52"/>
      <c r="AN2113" s="52"/>
    </row>
    <row r="2114" spans="16:40" x14ac:dyDescent="0.2">
      <c r="P2114" s="52"/>
      <c r="Q2114" s="52"/>
      <c r="R2114" s="52"/>
      <c r="S2114" s="52"/>
      <c r="T2114" s="52"/>
      <c r="U2114" s="52"/>
      <c r="V2114" s="52"/>
      <c r="W2114" s="52"/>
      <c r="X2114" s="52"/>
      <c r="Y2114" s="52"/>
      <c r="Z2114" s="52"/>
      <c r="AA2114" s="52"/>
      <c r="AB2114" s="52"/>
      <c r="AC2114" s="52"/>
      <c r="AD2114" s="52"/>
      <c r="AE2114" s="52"/>
      <c r="AF2114" s="52"/>
      <c r="AG2114" s="52"/>
      <c r="AH2114" s="52"/>
      <c r="AM2114" s="52"/>
      <c r="AN2114" s="52"/>
    </row>
    <row r="2115" spans="16:40" x14ac:dyDescent="0.2">
      <c r="P2115" s="52"/>
      <c r="Q2115" s="52"/>
      <c r="R2115" s="52"/>
      <c r="S2115" s="52"/>
      <c r="T2115" s="52"/>
      <c r="U2115" s="52"/>
      <c r="V2115" s="52"/>
      <c r="W2115" s="52"/>
      <c r="X2115" s="52"/>
      <c r="Y2115" s="52"/>
      <c r="Z2115" s="52"/>
      <c r="AA2115" s="52"/>
      <c r="AB2115" s="52"/>
      <c r="AC2115" s="52"/>
      <c r="AD2115" s="52"/>
      <c r="AE2115" s="52"/>
      <c r="AF2115" s="52"/>
      <c r="AG2115" s="52"/>
      <c r="AH2115" s="52"/>
      <c r="AM2115" s="52"/>
      <c r="AN2115" s="52"/>
    </row>
    <row r="2116" spans="16:40" x14ac:dyDescent="0.2">
      <c r="P2116" s="52"/>
      <c r="Q2116" s="52"/>
      <c r="R2116" s="52"/>
      <c r="S2116" s="52"/>
      <c r="T2116" s="52"/>
      <c r="U2116" s="52"/>
      <c r="V2116" s="52"/>
      <c r="W2116" s="52"/>
      <c r="X2116" s="52"/>
      <c r="Y2116" s="52"/>
      <c r="Z2116" s="52"/>
      <c r="AA2116" s="52"/>
      <c r="AB2116" s="52"/>
      <c r="AC2116" s="52"/>
      <c r="AD2116" s="52"/>
      <c r="AE2116" s="52"/>
      <c r="AF2116" s="52"/>
      <c r="AG2116" s="52"/>
      <c r="AH2116" s="52"/>
      <c r="AM2116" s="52"/>
      <c r="AN2116" s="52"/>
    </row>
    <row r="2117" spans="16:40" x14ac:dyDescent="0.2">
      <c r="P2117" s="52"/>
      <c r="Q2117" s="52"/>
      <c r="R2117" s="52"/>
      <c r="S2117" s="52"/>
      <c r="T2117" s="52"/>
      <c r="U2117" s="52"/>
      <c r="V2117" s="52"/>
      <c r="W2117" s="52"/>
      <c r="X2117" s="52"/>
      <c r="Y2117" s="52"/>
      <c r="Z2117" s="52"/>
      <c r="AA2117" s="52"/>
      <c r="AB2117" s="52"/>
      <c r="AC2117" s="52"/>
      <c r="AD2117" s="52"/>
      <c r="AE2117" s="52"/>
      <c r="AF2117" s="52"/>
      <c r="AG2117" s="52"/>
      <c r="AH2117" s="52"/>
      <c r="AM2117" s="52"/>
      <c r="AN2117" s="52"/>
    </row>
    <row r="2118" spans="16:40" x14ac:dyDescent="0.2">
      <c r="P2118" s="52"/>
      <c r="Q2118" s="52"/>
      <c r="R2118" s="52"/>
      <c r="S2118" s="52"/>
      <c r="T2118" s="52"/>
      <c r="U2118" s="52"/>
      <c r="V2118" s="52"/>
      <c r="W2118" s="52"/>
      <c r="X2118" s="52"/>
      <c r="Y2118" s="52"/>
      <c r="Z2118" s="52"/>
      <c r="AA2118" s="52"/>
      <c r="AB2118" s="52"/>
      <c r="AC2118" s="52"/>
      <c r="AD2118" s="52"/>
      <c r="AE2118" s="52"/>
      <c r="AF2118" s="52"/>
      <c r="AG2118" s="52"/>
      <c r="AH2118" s="52"/>
      <c r="AM2118" s="52"/>
      <c r="AN2118" s="52"/>
    </row>
    <row r="2119" spans="16:40" x14ac:dyDescent="0.2">
      <c r="P2119" s="52"/>
      <c r="Q2119" s="52"/>
      <c r="R2119" s="52"/>
      <c r="S2119" s="52"/>
      <c r="T2119" s="52"/>
      <c r="U2119" s="52"/>
      <c r="V2119" s="52"/>
      <c r="W2119" s="52"/>
      <c r="X2119" s="52"/>
      <c r="Y2119" s="52"/>
      <c r="Z2119" s="52"/>
      <c r="AA2119" s="52"/>
      <c r="AB2119" s="52"/>
      <c r="AC2119" s="52"/>
      <c r="AD2119" s="52"/>
      <c r="AE2119" s="52"/>
      <c r="AF2119" s="52"/>
      <c r="AG2119" s="52"/>
      <c r="AH2119" s="52"/>
      <c r="AM2119" s="52"/>
      <c r="AN2119" s="52"/>
    </row>
    <row r="2120" spans="16:40" x14ac:dyDescent="0.2">
      <c r="P2120" s="52"/>
      <c r="Q2120" s="52"/>
      <c r="R2120" s="52"/>
      <c r="S2120" s="52"/>
      <c r="T2120" s="52"/>
      <c r="U2120" s="52"/>
      <c r="V2120" s="52"/>
      <c r="W2120" s="52"/>
      <c r="X2120" s="52"/>
      <c r="Y2120" s="52"/>
      <c r="Z2120" s="52"/>
      <c r="AA2120" s="52"/>
      <c r="AB2120" s="52"/>
      <c r="AC2120" s="52"/>
      <c r="AD2120" s="52"/>
      <c r="AE2120" s="52"/>
      <c r="AF2120" s="52"/>
      <c r="AG2120" s="52"/>
      <c r="AH2120" s="52"/>
      <c r="AM2120" s="52"/>
      <c r="AN2120" s="52"/>
    </row>
    <row r="2121" spans="16:40" x14ac:dyDescent="0.2">
      <c r="P2121" s="52"/>
      <c r="Q2121" s="52"/>
      <c r="R2121" s="52"/>
      <c r="S2121" s="52"/>
      <c r="T2121" s="52"/>
      <c r="U2121" s="52"/>
      <c r="V2121" s="52"/>
      <c r="W2121" s="52"/>
      <c r="X2121" s="52"/>
      <c r="Y2121" s="52"/>
      <c r="Z2121" s="52"/>
      <c r="AA2121" s="52"/>
      <c r="AB2121" s="52"/>
      <c r="AC2121" s="52"/>
      <c r="AD2121" s="52"/>
      <c r="AE2121" s="52"/>
      <c r="AF2121" s="52"/>
      <c r="AG2121" s="52"/>
      <c r="AH2121" s="52"/>
      <c r="AM2121" s="52"/>
      <c r="AN2121" s="52"/>
    </row>
    <row r="2122" spans="16:40" x14ac:dyDescent="0.2">
      <c r="P2122" s="52"/>
      <c r="Q2122" s="52"/>
      <c r="R2122" s="52"/>
      <c r="S2122" s="52"/>
      <c r="T2122" s="52"/>
      <c r="U2122" s="52"/>
      <c r="V2122" s="52"/>
      <c r="W2122" s="52"/>
      <c r="X2122" s="52"/>
      <c r="Y2122" s="52"/>
      <c r="Z2122" s="52"/>
      <c r="AA2122" s="52"/>
      <c r="AB2122" s="52"/>
      <c r="AC2122" s="52"/>
      <c r="AD2122" s="52"/>
      <c r="AE2122" s="52"/>
      <c r="AF2122" s="52"/>
      <c r="AG2122" s="52"/>
      <c r="AH2122" s="52"/>
      <c r="AM2122" s="52"/>
      <c r="AN2122" s="52"/>
    </row>
    <row r="2123" spans="16:40" x14ac:dyDescent="0.2">
      <c r="P2123" s="52"/>
      <c r="Q2123" s="52"/>
      <c r="R2123" s="52"/>
      <c r="S2123" s="52"/>
      <c r="T2123" s="52"/>
      <c r="U2123" s="52"/>
      <c r="V2123" s="52"/>
      <c r="W2123" s="52"/>
      <c r="X2123" s="52"/>
      <c r="Y2123" s="52"/>
      <c r="Z2123" s="52"/>
      <c r="AA2123" s="52"/>
      <c r="AB2123" s="52"/>
      <c r="AC2123" s="52"/>
      <c r="AD2123" s="52"/>
      <c r="AE2123" s="52"/>
      <c r="AF2123" s="52"/>
      <c r="AG2123" s="52"/>
      <c r="AH2123" s="52"/>
      <c r="AM2123" s="52"/>
      <c r="AN2123" s="52"/>
    </row>
    <row r="2124" spans="16:40" x14ac:dyDescent="0.2">
      <c r="P2124" s="52"/>
      <c r="Q2124" s="52"/>
      <c r="R2124" s="52"/>
      <c r="S2124" s="52"/>
      <c r="T2124" s="52"/>
      <c r="U2124" s="52"/>
      <c r="V2124" s="52"/>
      <c r="W2124" s="52"/>
      <c r="X2124" s="52"/>
      <c r="Y2124" s="52"/>
      <c r="Z2124" s="52"/>
      <c r="AA2124" s="52"/>
      <c r="AB2124" s="52"/>
      <c r="AC2124" s="52"/>
      <c r="AD2124" s="52"/>
      <c r="AE2124" s="52"/>
      <c r="AF2124" s="52"/>
      <c r="AG2124" s="52"/>
      <c r="AH2124" s="52"/>
      <c r="AM2124" s="52"/>
      <c r="AN2124" s="52"/>
    </row>
    <row r="2125" spans="16:40" x14ac:dyDescent="0.2">
      <c r="P2125" s="52"/>
      <c r="Q2125" s="52"/>
      <c r="R2125" s="52"/>
      <c r="S2125" s="52"/>
      <c r="T2125" s="52"/>
      <c r="U2125" s="52"/>
      <c r="V2125" s="52"/>
      <c r="W2125" s="52"/>
      <c r="X2125" s="52"/>
      <c r="Y2125" s="52"/>
      <c r="Z2125" s="52"/>
      <c r="AA2125" s="52"/>
      <c r="AB2125" s="52"/>
      <c r="AC2125" s="52"/>
      <c r="AD2125" s="52"/>
      <c r="AE2125" s="52"/>
      <c r="AF2125" s="52"/>
      <c r="AG2125" s="52"/>
      <c r="AH2125" s="52"/>
      <c r="AM2125" s="52"/>
      <c r="AN2125" s="52"/>
    </row>
    <row r="2126" spans="16:40" x14ac:dyDescent="0.2">
      <c r="P2126" s="52"/>
      <c r="Q2126" s="52"/>
      <c r="R2126" s="52"/>
      <c r="S2126" s="52"/>
      <c r="T2126" s="52"/>
      <c r="U2126" s="52"/>
      <c r="V2126" s="52"/>
      <c r="W2126" s="52"/>
      <c r="X2126" s="52"/>
      <c r="Y2126" s="52"/>
      <c r="Z2126" s="52"/>
      <c r="AA2126" s="52"/>
      <c r="AB2126" s="52"/>
      <c r="AC2126" s="52"/>
      <c r="AD2126" s="52"/>
      <c r="AE2126" s="52"/>
      <c r="AF2126" s="52"/>
      <c r="AG2126" s="52"/>
      <c r="AH2126" s="52"/>
      <c r="AM2126" s="52"/>
      <c r="AN2126" s="52"/>
    </row>
    <row r="2127" spans="16:40" x14ac:dyDescent="0.2">
      <c r="P2127" s="52"/>
      <c r="Q2127" s="52"/>
      <c r="R2127" s="52"/>
      <c r="S2127" s="52"/>
      <c r="T2127" s="52"/>
      <c r="U2127" s="52"/>
      <c r="V2127" s="52"/>
      <c r="W2127" s="52"/>
      <c r="X2127" s="52"/>
      <c r="Y2127" s="52"/>
      <c r="Z2127" s="52"/>
      <c r="AA2127" s="52"/>
      <c r="AB2127" s="52"/>
      <c r="AC2127" s="52"/>
      <c r="AD2127" s="52"/>
      <c r="AE2127" s="52"/>
      <c r="AF2127" s="52"/>
      <c r="AG2127" s="52"/>
      <c r="AH2127" s="52"/>
      <c r="AM2127" s="52"/>
      <c r="AN2127" s="52"/>
    </row>
    <row r="2128" spans="16:40" x14ac:dyDescent="0.2">
      <c r="P2128" s="52"/>
      <c r="Q2128" s="52"/>
      <c r="R2128" s="52"/>
      <c r="S2128" s="52"/>
      <c r="T2128" s="52"/>
      <c r="U2128" s="52"/>
      <c r="V2128" s="52"/>
      <c r="W2128" s="52"/>
      <c r="X2128" s="52"/>
      <c r="Y2128" s="52"/>
      <c r="Z2128" s="52"/>
      <c r="AA2128" s="52"/>
      <c r="AB2128" s="52"/>
      <c r="AC2128" s="52"/>
      <c r="AD2128" s="52"/>
      <c r="AE2128" s="52"/>
      <c r="AF2128" s="52"/>
      <c r="AG2128" s="52"/>
      <c r="AH2128" s="52"/>
      <c r="AM2128" s="52"/>
      <c r="AN2128" s="52"/>
    </row>
    <row r="2129" spans="16:40" x14ac:dyDescent="0.2">
      <c r="P2129" s="52"/>
      <c r="Q2129" s="52"/>
      <c r="R2129" s="52"/>
      <c r="S2129" s="52"/>
      <c r="T2129" s="52"/>
      <c r="U2129" s="52"/>
      <c r="V2129" s="52"/>
      <c r="W2129" s="52"/>
      <c r="X2129" s="52"/>
      <c r="Y2129" s="52"/>
      <c r="Z2129" s="52"/>
      <c r="AA2129" s="52"/>
      <c r="AB2129" s="52"/>
      <c r="AC2129" s="52"/>
      <c r="AD2129" s="52"/>
      <c r="AE2129" s="52"/>
      <c r="AF2129" s="52"/>
      <c r="AG2129" s="52"/>
      <c r="AH2129" s="52"/>
      <c r="AM2129" s="52"/>
      <c r="AN2129" s="52"/>
    </row>
    <row r="2130" spans="16:40" x14ac:dyDescent="0.2">
      <c r="P2130" s="52"/>
      <c r="Q2130" s="52"/>
      <c r="R2130" s="52"/>
      <c r="S2130" s="52"/>
      <c r="T2130" s="52"/>
      <c r="U2130" s="52"/>
      <c r="V2130" s="52"/>
      <c r="W2130" s="52"/>
      <c r="X2130" s="52"/>
      <c r="Y2130" s="52"/>
      <c r="Z2130" s="52"/>
      <c r="AA2130" s="52"/>
      <c r="AB2130" s="52"/>
      <c r="AC2130" s="52"/>
      <c r="AD2130" s="52"/>
      <c r="AE2130" s="52"/>
      <c r="AF2130" s="52"/>
      <c r="AG2130" s="52"/>
      <c r="AH2130" s="52"/>
      <c r="AM2130" s="52"/>
      <c r="AN2130" s="52"/>
    </row>
    <row r="2131" spans="16:40" x14ac:dyDescent="0.2">
      <c r="P2131" s="52"/>
      <c r="Q2131" s="52"/>
      <c r="R2131" s="52"/>
      <c r="S2131" s="52"/>
      <c r="T2131" s="52"/>
      <c r="U2131" s="52"/>
      <c r="V2131" s="52"/>
      <c r="W2131" s="52"/>
      <c r="X2131" s="52"/>
      <c r="Y2131" s="52"/>
      <c r="Z2131" s="52"/>
      <c r="AA2131" s="52"/>
      <c r="AB2131" s="52"/>
      <c r="AC2131" s="52"/>
      <c r="AD2131" s="52"/>
      <c r="AE2131" s="52"/>
      <c r="AF2131" s="52"/>
      <c r="AG2131" s="52"/>
      <c r="AH2131" s="52"/>
      <c r="AM2131" s="52"/>
      <c r="AN2131" s="52"/>
    </row>
    <row r="2132" spans="16:40" x14ac:dyDescent="0.2">
      <c r="P2132" s="52"/>
      <c r="Q2132" s="52"/>
      <c r="R2132" s="52"/>
      <c r="S2132" s="52"/>
      <c r="T2132" s="52"/>
      <c r="U2132" s="52"/>
      <c r="V2132" s="52"/>
      <c r="W2132" s="52"/>
      <c r="X2132" s="52"/>
      <c r="Y2132" s="52"/>
      <c r="Z2132" s="52"/>
      <c r="AA2132" s="52"/>
      <c r="AB2132" s="52"/>
      <c r="AC2132" s="52"/>
      <c r="AD2132" s="52"/>
      <c r="AE2132" s="52"/>
      <c r="AF2132" s="52"/>
      <c r="AG2132" s="52"/>
      <c r="AH2132" s="52"/>
      <c r="AM2132" s="52"/>
      <c r="AN2132" s="52"/>
    </row>
    <row r="2133" spans="16:40" x14ac:dyDescent="0.2">
      <c r="P2133" s="52"/>
      <c r="Q2133" s="52"/>
      <c r="R2133" s="52"/>
      <c r="S2133" s="52"/>
      <c r="T2133" s="52"/>
      <c r="U2133" s="52"/>
      <c r="V2133" s="52"/>
      <c r="W2133" s="52"/>
      <c r="X2133" s="52"/>
      <c r="Y2133" s="52"/>
      <c r="Z2133" s="52"/>
      <c r="AA2133" s="52"/>
      <c r="AB2133" s="52"/>
      <c r="AC2133" s="52"/>
      <c r="AD2133" s="52"/>
      <c r="AE2133" s="52"/>
      <c r="AF2133" s="52"/>
      <c r="AG2133" s="52"/>
      <c r="AH2133" s="52"/>
      <c r="AM2133" s="52"/>
      <c r="AN2133" s="52"/>
    </row>
    <row r="2134" spans="16:40" x14ac:dyDescent="0.2">
      <c r="P2134" s="52"/>
      <c r="Q2134" s="52"/>
      <c r="R2134" s="52"/>
      <c r="S2134" s="52"/>
      <c r="T2134" s="52"/>
      <c r="U2134" s="52"/>
      <c r="V2134" s="52"/>
      <c r="W2134" s="52"/>
      <c r="X2134" s="52"/>
      <c r="Y2134" s="52"/>
      <c r="Z2134" s="52"/>
      <c r="AA2134" s="52"/>
      <c r="AB2134" s="52"/>
      <c r="AC2134" s="52"/>
      <c r="AD2134" s="52"/>
      <c r="AE2134" s="52"/>
      <c r="AF2134" s="52"/>
      <c r="AG2134" s="52"/>
      <c r="AH2134" s="52"/>
      <c r="AM2134" s="52"/>
      <c r="AN2134" s="52"/>
    </row>
    <row r="2135" spans="16:40" x14ac:dyDescent="0.2">
      <c r="P2135" s="52"/>
      <c r="Q2135" s="52"/>
      <c r="R2135" s="52"/>
      <c r="S2135" s="52"/>
      <c r="T2135" s="52"/>
      <c r="U2135" s="52"/>
      <c r="V2135" s="52"/>
      <c r="W2135" s="52"/>
      <c r="X2135" s="52"/>
      <c r="Y2135" s="52"/>
      <c r="Z2135" s="52"/>
      <c r="AA2135" s="52"/>
      <c r="AB2135" s="52"/>
      <c r="AC2135" s="52"/>
      <c r="AD2135" s="52"/>
      <c r="AE2135" s="52"/>
      <c r="AF2135" s="52"/>
      <c r="AG2135" s="52"/>
      <c r="AH2135" s="52"/>
      <c r="AM2135" s="52"/>
      <c r="AN2135" s="52"/>
    </row>
    <row r="2136" spans="16:40" x14ac:dyDescent="0.2">
      <c r="P2136" s="52"/>
      <c r="Q2136" s="52"/>
      <c r="R2136" s="52"/>
      <c r="S2136" s="52"/>
      <c r="T2136" s="52"/>
      <c r="U2136" s="52"/>
      <c r="V2136" s="52"/>
      <c r="W2136" s="52"/>
      <c r="X2136" s="52"/>
      <c r="Y2136" s="52"/>
      <c r="Z2136" s="52"/>
      <c r="AA2136" s="52"/>
      <c r="AB2136" s="52"/>
      <c r="AC2136" s="52"/>
      <c r="AD2136" s="52"/>
      <c r="AE2136" s="52"/>
      <c r="AF2136" s="52"/>
      <c r="AG2136" s="52"/>
      <c r="AH2136" s="52"/>
      <c r="AM2136" s="52"/>
      <c r="AN2136" s="52"/>
    </row>
    <row r="2137" spans="16:40" x14ac:dyDescent="0.2">
      <c r="P2137" s="52"/>
      <c r="Q2137" s="52"/>
      <c r="R2137" s="52"/>
      <c r="S2137" s="52"/>
      <c r="T2137" s="52"/>
      <c r="U2137" s="52"/>
      <c r="V2137" s="52"/>
      <c r="W2137" s="52"/>
      <c r="X2137" s="52"/>
      <c r="Y2137" s="52"/>
      <c r="Z2137" s="52"/>
      <c r="AA2137" s="52"/>
      <c r="AB2137" s="52"/>
      <c r="AC2137" s="52"/>
      <c r="AD2137" s="52"/>
      <c r="AE2137" s="52"/>
      <c r="AF2137" s="52"/>
      <c r="AG2137" s="52"/>
      <c r="AH2137" s="52"/>
      <c r="AM2137" s="52"/>
      <c r="AN2137" s="52"/>
    </row>
    <row r="2138" spans="16:40" x14ac:dyDescent="0.2">
      <c r="P2138" s="52"/>
      <c r="Q2138" s="52"/>
      <c r="R2138" s="52"/>
      <c r="S2138" s="52"/>
      <c r="T2138" s="52"/>
      <c r="U2138" s="52"/>
      <c r="V2138" s="52"/>
      <c r="W2138" s="52"/>
      <c r="X2138" s="52"/>
      <c r="Y2138" s="52"/>
      <c r="Z2138" s="52"/>
      <c r="AA2138" s="52"/>
      <c r="AB2138" s="52"/>
      <c r="AC2138" s="52"/>
      <c r="AD2138" s="52"/>
      <c r="AE2138" s="52"/>
      <c r="AF2138" s="52"/>
      <c r="AG2138" s="52"/>
      <c r="AH2138" s="52"/>
      <c r="AM2138" s="52"/>
      <c r="AN2138" s="52"/>
    </row>
    <row r="2139" spans="16:40" x14ac:dyDescent="0.2">
      <c r="P2139" s="52"/>
      <c r="Q2139" s="52"/>
      <c r="R2139" s="52"/>
      <c r="S2139" s="52"/>
      <c r="T2139" s="52"/>
      <c r="U2139" s="52"/>
      <c r="V2139" s="52"/>
      <c r="W2139" s="52"/>
      <c r="X2139" s="52"/>
      <c r="Y2139" s="52"/>
      <c r="Z2139" s="52"/>
      <c r="AA2139" s="52"/>
      <c r="AB2139" s="52"/>
      <c r="AC2139" s="52"/>
      <c r="AD2139" s="52"/>
      <c r="AE2139" s="52"/>
      <c r="AF2139" s="52"/>
      <c r="AG2139" s="52"/>
      <c r="AH2139" s="52"/>
      <c r="AM2139" s="52"/>
      <c r="AN2139" s="52"/>
    </row>
    <row r="2140" spans="16:40" x14ac:dyDescent="0.2">
      <c r="P2140" s="52"/>
      <c r="Q2140" s="52"/>
      <c r="R2140" s="52"/>
      <c r="S2140" s="52"/>
      <c r="T2140" s="52"/>
      <c r="U2140" s="52"/>
      <c r="V2140" s="52"/>
      <c r="W2140" s="52"/>
      <c r="X2140" s="52"/>
      <c r="Y2140" s="52"/>
      <c r="Z2140" s="52"/>
      <c r="AA2140" s="52"/>
      <c r="AB2140" s="52"/>
      <c r="AC2140" s="52"/>
      <c r="AD2140" s="52"/>
      <c r="AE2140" s="52"/>
      <c r="AF2140" s="52"/>
      <c r="AG2140" s="52"/>
      <c r="AH2140" s="52"/>
      <c r="AM2140" s="52"/>
      <c r="AN2140" s="52"/>
    </row>
    <row r="2141" spans="16:40" x14ac:dyDescent="0.2">
      <c r="P2141" s="52"/>
      <c r="Q2141" s="52"/>
      <c r="R2141" s="52"/>
      <c r="S2141" s="52"/>
      <c r="T2141" s="52"/>
      <c r="U2141" s="52"/>
      <c r="V2141" s="52"/>
      <c r="W2141" s="52"/>
      <c r="X2141" s="52"/>
      <c r="Y2141" s="52"/>
      <c r="Z2141" s="52"/>
      <c r="AA2141" s="52"/>
      <c r="AB2141" s="52"/>
      <c r="AC2141" s="52"/>
      <c r="AD2141" s="52"/>
      <c r="AE2141" s="52"/>
      <c r="AF2141" s="52"/>
      <c r="AG2141" s="52"/>
      <c r="AH2141" s="52"/>
      <c r="AM2141" s="52"/>
      <c r="AN2141" s="52"/>
    </row>
    <row r="2142" spans="16:40" x14ac:dyDescent="0.2">
      <c r="P2142" s="52"/>
      <c r="Q2142" s="52"/>
      <c r="R2142" s="52"/>
      <c r="S2142" s="52"/>
      <c r="T2142" s="52"/>
      <c r="U2142" s="52"/>
      <c r="V2142" s="52"/>
      <c r="W2142" s="52"/>
      <c r="X2142" s="52"/>
      <c r="Y2142" s="52"/>
      <c r="Z2142" s="52"/>
      <c r="AA2142" s="52"/>
      <c r="AB2142" s="52"/>
      <c r="AC2142" s="52"/>
      <c r="AD2142" s="52"/>
      <c r="AE2142" s="52"/>
      <c r="AF2142" s="52"/>
      <c r="AG2142" s="52"/>
      <c r="AH2142" s="52"/>
      <c r="AM2142" s="52"/>
      <c r="AN2142" s="52"/>
    </row>
    <row r="2143" spans="16:40" x14ac:dyDescent="0.2">
      <c r="P2143" s="52"/>
      <c r="Q2143" s="52"/>
      <c r="R2143" s="52"/>
      <c r="S2143" s="52"/>
      <c r="T2143" s="52"/>
      <c r="U2143" s="52"/>
      <c r="V2143" s="52"/>
      <c r="W2143" s="52"/>
      <c r="X2143" s="52"/>
      <c r="Y2143" s="52"/>
      <c r="Z2143" s="52"/>
      <c r="AA2143" s="52"/>
      <c r="AB2143" s="52"/>
      <c r="AC2143" s="52"/>
      <c r="AD2143" s="52"/>
      <c r="AE2143" s="52"/>
      <c r="AF2143" s="52"/>
      <c r="AG2143" s="52"/>
      <c r="AH2143" s="52"/>
      <c r="AM2143" s="52"/>
      <c r="AN2143" s="52"/>
    </row>
    <row r="2144" spans="16:40" x14ac:dyDescent="0.2">
      <c r="P2144" s="52"/>
      <c r="Q2144" s="52"/>
      <c r="R2144" s="52"/>
      <c r="S2144" s="52"/>
      <c r="T2144" s="52"/>
      <c r="U2144" s="52"/>
      <c r="V2144" s="52"/>
      <c r="W2144" s="52"/>
      <c r="X2144" s="52"/>
      <c r="Y2144" s="52"/>
      <c r="Z2144" s="52"/>
      <c r="AA2144" s="52"/>
      <c r="AB2144" s="52"/>
      <c r="AC2144" s="52"/>
      <c r="AD2144" s="52"/>
      <c r="AE2144" s="52"/>
      <c r="AF2144" s="52"/>
      <c r="AG2144" s="52"/>
      <c r="AH2144" s="52"/>
      <c r="AM2144" s="52"/>
      <c r="AN2144" s="52"/>
    </row>
    <row r="2145" spans="16:40" x14ac:dyDescent="0.2">
      <c r="P2145" s="52"/>
      <c r="Q2145" s="52"/>
      <c r="R2145" s="52"/>
      <c r="S2145" s="52"/>
      <c r="T2145" s="52"/>
      <c r="U2145" s="52"/>
      <c r="V2145" s="52"/>
      <c r="W2145" s="52"/>
      <c r="X2145" s="52"/>
      <c r="Y2145" s="52"/>
      <c r="Z2145" s="52"/>
      <c r="AA2145" s="52"/>
      <c r="AB2145" s="52"/>
      <c r="AC2145" s="52"/>
      <c r="AD2145" s="52"/>
      <c r="AE2145" s="52"/>
      <c r="AF2145" s="52"/>
      <c r="AG2145" s="52"/>
      <c r="AH2145" s="52"/>
      <c r="AM2145" s="52"/>
      <c r="AN2145" s="52"/>
    </row>
    <row r="2146" spans="16:40" x14ac:dyDescent="0.2">
      <c r="P2146" s="52"/>
      <c r="Q2146" s="52"/>
      <c r="R2146" s="52"/>
      <c r="S2146" s="52"/>
      <c r="T2146" s="52"/>
      <c r="U2146" s="52"/>
      <c r="V2146" s="52"/>
      <c r="W2146" s="52"/>
      <c r="X2146" s="52"/>
      <c r="Y2146" s="52"/>
      <c r="Z2146" s="52"/>
      <c r="AA2146" s="52"/>
      <c r="AB2146" s="52"/>
      <c r="AC2146" s="52"/>
      <c r="AD2146" s="52"/>
      <c r="AE2146" s="52"/>
      <c r="AF2146" s="52"/>
      <c r="AG2146" s="52"/>
      <c r="AH2146" s="52"/>
      <c r="AM2146" s="52"/>
      <c r="AN2146" s="52"/>
    </row>
    <row r="2147" spans="16:40" x14ac:dyDescent="0.2">
      <c r="P2147" s="52"/>
      <c r="Q2147" s="52"/>
      <c r="R2147" s="52"/>
      <c r="S2147" s="52"/>
      <c r="T2147" s="52"/>
      <c r="U2147" s="52"/>
      <c r="V2147" s="52"/>
      <c r="W2147" s="52"/>
      <c r="X2147" s="52"/>
      <c r="Y2147" s="52"/>
      <c r="Z2147" s="52"/>
      <c r="AA2147" s="52"/>
      <c r="AB2147" s="52"/>
      <c r="AC2147" s="52"/>
      <c r="AD2147" s="52"/>
      <c r="AE2147" s="52"/>
      <c r="AF2147" s="52"/>
      <c r="AG2147" s="52"/>
      <c r="AH2147" s="52"/>
      <c r="AM2147" s="52"/>
      <c r="AN2147" s="52"/>
    </row>
    <row r="2148" spans="16:40" x14ac:dyDescent="0.2">
      <c r="P2148" s="52"/>
      <c r="Q2148" s="52"/>
      <c r="R2148" s="52"/>
      <c r="S2148" s="52"/>
      <c r="T2148" s="52"/>
      <c r="U2148" s="52"/>
      <c r="V2148" s="52"/>
      <c r="W2148" s="52"/>
      <c r="X2148" s="52"/>
      <c r="Y2148" s="52"/>
      <c r="Z2148" s="52"/>
      <c r="AA2148" s="52"/>
      <c r="AB2148" s="52"/>
      <c r="AC2148" s="52"/>
      <c r="AD2148" s="52"/>
      <c r="AE2148" s="52"/>
      <c r="AF2148" s="52"/>
      <c r="AG2148" s="52"/>
      <c r="AH2148" s="52"/>
      <c r="AM2148" s="52"/>
      <c r="AN2148" s="52"/>
    </row>
    <row r="2149" spans="16:40" x14ac:dyDescent="0.2">
      <c r="P2149" s="52"/>
      <c r="Q2149" s="52"/>
      <c r="R2149" s="52"/>
      <c r="S2149" s="52"/>
      <c r="T2149" s="52"/>
      <c r="U2149" s="52"/>
      <c r="V2149" s="52"/>
      <c r="W2149" s="52"/>
      <c r="X2149" s="52"/>
      <c r="Y2149" s="52"/>
      <c r="Z2149" s="52"/>
      <c r="AA2149" s="52"/>
      <c r="AB2149" s="52"/>
      <c r="AC2149" s="52"/>
      <c r="AD2149" s="52"/>
      <c r="AE2149" s="52"/>
      <c r="AF2149" s="52"/>
      <c r="AG2149" s="52"/>
      <c r="AH2149" s="52"/>
      <c r="AM2149" s="52"/>
      <c r="AN2149" s="52"/>
    </row>
    <row r="2150" spans="16:40" x14ac:dyDescent="0.2"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2"/>
      <c r="AA2150" s="52"/>
      <c r="AB2150" s="52"/>
      <c r="AC2150" s="52"/>
      <c r="AD2150" s="52"/>
      <c r="AE2150" s="52"/>
      <c r="AF2150" s="52"/>
      <c r="AG2150" s="52"/>
      <c r="AH2150" s="52"/>
      <c r="AM2150" s="52"/>
      <c r="AN2150" s="52"/>
    </row>
    <row r="2151" spans="16:40" x14ac:dyDescent="0.2">
      <c r="P2151" s="52"/>
      <c r="Q2151" s="52"/>
      <c r="R2151" s="52"/>
      <c r="S2151" s="52"/>
      <c r="T2151" s="52"/>
      <c r="U2151" s="52"/>
      <c r="V2151" s="52"/>
      <c r="W2151" s="52"/>
      <c r="X2151" s="52"/>
      <c r="Y2151" s="52"/>
      <c r="Z2151" s="52"/>
      <c r="AA2151" s="52"/>
      <c r="AB2151" s="52"/>
      <c r="AC2151" s="52"/>
      <c r="AD2151" s="52"/>
      <c r="AE2151" s="52"/>
      <c r="AF2151" s="52"/>
      <c r="AG2151" s="52"/>
      <c r="AH2151" s="52"/>
      <c r="AM2151" s="52"/>
      <c r="AN2151" s="52"/>
    </row>
    <row r="2152" spans="16:40" x14ac:dyDescent="0.2">
      <c r="P2152" s="52"/>
      <c r="Q2152" s="52"/>
      <c r="R2152" s="52"/>
      <c r="S2152" s="52"/>
      <c r="T2152" s="52"/>
      <c r="U2152" s="52"/>
      <c r="V2152" s="52"/>
      <c r="W2152" s="52"/>
      <c r="X2152" s="52"/>
      <c r="Y2152" s="52"/>
      <c r="Z2152" s="52"/>
      <c r="AA2152" s="52"/>
      <c r="AB2152" s="52"/>
      <c r="AC2152" s="52"/>
      <c r="AD2152" s="52"/>
      <c r="AE2152" s="52"/>
      <c r="AF2152" s="52"/>
      <c r="AG2152" s="52"/>
      <c r="AH2152" s="52"/>
      <c r="AM2152" s="52"/>
      <c r="AN2152" s="52"/>
    </row>
    <row r="2153" spans="16:40" x14ac:dyDescent="0.2">
      <c r="P2153" s="52"/>
      <c r="Q2153" s="52"/>
      <c r="R2153" s="52"/>
      <c r="S2153" s="52"/>
      <c r="T2153" s="52"/>
      <c r="U2153" s="52"/>
      <c r="V2153" s="52"/>
      <c r="W2153" s="52"/>
      <c r="X2153" s="52"/>
      <c r="Y2153" s="52"/>
      <c r="Z2153" s="52"/>
      <c r="AA2153" s="52"/>
      <c r="AB2153" s="52"/>
      <c r="AC2153" s="52"/>
      <c r="AD2153" s="52"/>
      <c r="AE2153" s="52"/>
      <c r="AF2153" s="52"/>
      <c r="AG2153" s="52"/>
      <c r="AH2153" s="52"/>
      <c r="AM2153" s="52"/>
      <c r="AN2153" s="52"/>
    </row>
    <row r="2154" spans="16:40" x14ac:dyDescent="0.2">
      <c r="P2154" s="52"/>
      <c r="Q2154" s="52"/>
      <c r="R2154" s="52"/>
      <c r="S2154" s="52"/>
      <c r="T2154" s="52"/>
      <c r="U2154" s="52"/>
      <c r="V2154" s="52"/>
      <c r="W2154" s="52"/>
      <c r="X2154" s="52"/>
      <c r="Y2154" s="52"/>
      <c r="Z2154" s="52"/>
      <c r="AA2154" s="52"/>
      <c r="AB2154" s="52"/>
      <c r="AC2154" s="52"/>
      <c r="AD2154" s="52"/>
      <c r="AE2154" s="52"/>
      <c r="AF2154" s="52"/>
      <c r="AG2154" s="52"/>
      <c r="AH2154" s="52"/>
      <c r="AM2154" s="52"/>
      <c r="AN2154" s="52"/>
    </row>
    <row r="2155" spans="16:40" x14ac:dyDescent="0.2">
      <c r="P2155" s="52"/>
      <c r="Q2155" s="52"/>
      <c r="R2155" s="52"/>
      <c r="S2155" s="52"/>
      <c r="T2155" s="52"/>
      <c r="U2155" s="52"/>
      <c r="V2155" s="52"/>
      <c r="W2155" s="52"/>
      <c r="X2155" s="52"/>
      <c r="Y2155" s="52"/>
      <c r="Z2155" s="52"/>
      <c r="AA2155" s="52"/>
      <c r="AB2155" s="52"/>
      <c r="AC2155" s="52"/>
      <c r="AD2155" s="52"/>
      <c r="AE2155" s="52"/>
      <c r="AF2155" s="52"/>
      <c r="AG2155" s="52"/>
      <c r="AH2155" s="52"/>
      <c r="AM2155" s="52"/>
      <c r="AN2155" s="52"/>
    </row>
    <row r="2156" spans="16:40" x14ac:dyDescent="0.2">
      <c r="P2156" s="52"/>
      <c r="Q2156" s="52"/>
      <c r="R2156" s="52"/>
      <c r="S2156" s="52"/>
      <c r="T2156" s="52"/>
      <c r="U2156" s="52"/>
      <c r="V2156" s="52"/>
      <c r="W2156" s="52"/>
      <c r="X2156" s="52"/>
      <c r="Y2156" s="52"/>
      <c r="Z2156" s="52"/>
      <c r="AA2156" s="52"/>
      <c r="AB2156" s="52"/>
      <c r="AC2156" s="52"/>
      <c r="AD2156" s="52"/>
      <c r="AE2156" s="52"/>
      <c r="AF2156" s="52"/>
      <c r="AG2156" s="52"/>
      <c r="AH2156" s="52"/>
      <c r="AM2156" s="52"/>
      <c r="AN2156" s="52"/>
    </row>
    <row r="2157" spans="16:40" x14ac:dyDescent="0.2">
      <c r="P2157" s="52"/>
      <c r="Q2157" s="52"/>
      <c r="R2157" s="52"/>
      <c r="S2157" s="52"/>
      <c r="T2157" s="52"/>
      <c r="U2157" s="52"/>
      <c r="V2157" s="52"/>
      <c r="W2157" s="52"/>
      <c r="X2157" s="52"/>
      <c r="Y2157" s="52"/>
      <c r="Z2157" s="52"/>
      <c r="AA2157" s="52"/>
      <c r="AB2157" s="52"/>
      <c r="AC2157" s="52"/>
      <c r="AD2157" s="52"/>
      <c r="AE2157" s="52"/>
      <c r="AF2157" s="52"/>
      <c r="AG2157" s="52"/>
      <c r="AH2157" s="52"/>
      <c r="AM2157" s="52"/>
      <c r="AN2157" s="52"/>
    </row>
    <row r="2158" spans="16:40" x14ac:dyDescent="0.2">
      <c r="P2158" s="52"/>
      <c r="Q2158" s="52"/>
      <c r="R2158" s="52"/>
      <c r="S2158" s="52"/>
      <c r="T2158" s="52"/>
      <c r="U2158" s="52"/>
      <c r="V2158" s="52"/>
      <c r="W2158" s="52"/>
      <c r="X2158" s="52"/>
      <c r="Y2158" s="52"/>
      <c r="Z2158" s="52"/>
      <c r="AA2158" s="52"/>
      <c r="AB2158" s="52"/>
      <c r="AC2158" s="52"/>
      <c r="AD2158" s="52"/>
      <c r="AE2158" s="52"/>
      <c r="AF2158" s="52"/>
      <c r="AG2158" s="52"/>
      <c r="AH2158" s="52"/>
      <c r="AM2158" s="52"/>
      <c r="AN2158" s="52"/>
    </row>
    <row r="2159" spans="16:40" x14ac:dyDescent="0.2">
      <c r="P2159" s="52"/>
      <c r="Q2159" s="52"/>
      <c r="R2159" s="52"/>
      <c r="S2159" s="52"/>
      <c r="T2159" s="52"/>
      <c r="U2159" s="52"/>
      <c r="V2159" s="52"/>
      <c r="W2159" s="52"/>
      <c r="X2159" s="52"/>
      <c r="Y2159" s="52"/>
      <c r="Z2159" s="52"/>
      <c r="AA2159" s="52"/>
      <c r="AB2159" s="52"/>
      <c r="AC2159" s="52"/>
      <c r="AD2159" s="52"/>
      <c r="AE2159" s="52"/>
      <c r="AF2159" s="52"/>
      <c r="AG2159" s="52"/>
      <c r="AH2159" s="52"/>
      <c r="AM2159" s="52"/>
      <c r="AN2159" s="52"/>
    </row>
    <row r="2160" spans="16:40" x14ac:dyDescent="0.2">
      <c r="P2160" s="52"/>
      <c r="Q2160" s="52"/>
      <c r="R2160" s="52"/>
      <c r="S2160" s="52"/>
      <c r="T2160" s="52"/>
      <c r="U2160" s="52"/>
      <c r="V2160" s="52"/>
      <c r="W2160" s="52"/>
      <c r="X2160" s="52"/>
      <c r="Y2160" s="52"/>
      <c r="Z2160" s="52"/>
      <c r="AA2160" s="52"/>
      <c r="AB2160" s="52"/>
      <c r="AC2160" s="52"/>
      <c r="AD2160" s="52"/>
      <c r="AE2160" s="52"/>
      <c r="AF2160" s="52"/>
      <c r="AG2160" s="52"/>
      <c r="AH2160" s="52"/>
      <c r="AM2160" s="52"/>
      <c r="AN2160" s="52"/>
    </row>
    <row r="2161" spans="16:40" x14ac:dyDescent="0.2">
      <c r="P2161" s="52"/>
      <c r="Q2161" s="52"/>
      <c r="R2161" s="52"/>
      <c r="S2161" s="52"/>
      <c r="T2161" s="52"/>
      <c r="U2161" s="52"/>
      <c r="V2161" s="52"/>
      <c r="W2161" s="52"/>
      <c r="X2161" s="52"/>
      <c r="Y2161" s="52"/>
      <c r="Z2161" s="52"/>
      <c r="AA2161" s="52"/>
      <c r="AB2161" s="52"/>
      <c r="AC2161" s="52"/>
      <c r="AD2161" s="52"/>
      <c r="AE2161" s="52"/>
      <c r="AF2161" s="52"/>
      <c r="AG2161" s="52"/>
      <c r="AH2161" s="52"/>
      <c r="AM2161" s="52"/>
      <c r="AN2161" s="52"/>
    </row>
    <row r="2162" spans="16:40" x14ac:dyDescent="0.2">
      <c r="P2162" s="52"/>
      <c r="Q2162" s="52"/>
      <c r="R2162" s="52"/>
      <c r="S2162" s="52"/>
      <c r="T2162" s="52"/>
      <c r="U2162" s="52"/>
      <c r="V2162" s="52"/>
      <c r="W2162" s="52"/>
      <c r="X2162" s="52"/>
      <c r="Y2162" s="52"/>
      <c r="Z2162" s="52"/>
      <c r="AA2162" s="52"/>
      <c r="AB2162" s="52"/>
      <c r="AC2162" s="52"/>
      <c r="AD2162" s="52"/>
      <c r="AE2162" s="52"/>
      <c r="AF2162" s="52"/>
      <c r="AG2162" s="52"/>
      <c r="AH2162" s="52"/>
      <c r="AM2162" s="52"/>
      <c r="AN2162" s="52"/>
    </row>
    <row r="2163" spans="16:40" x14ac:dyDescent="0.2">
      <c r="P2163" s="52"/>
      <c r="Q2163" s="52"/>
      <c r="R2163" s="52"/>
      <c r="S2163" s="52"/>
      <c r="T2163" s="52"/>
      <c r="U2163" s="52"/>
      <c r="V2163" s="52"/>
      <c r="W2163" s="52"/>
      <c r="X2163" s="52"/>
      <c r="Y2163" s="52"/>
      <c r="Z2163" s="52"/>
      <c r="AA2163" s="52"/>
      <c r="AB2163" s="52"/>
      <c r="AC2163" s="52"/>
      <c r="AD2163" s="52"/>
      <c r="AE2163" s="52"/>
      <c r="AF2163" s="52"/>
      <c r="AG2163" s="52"/>
      <c r="AH2163" s="52"/>
      <c r="AM2163" s="52"/>
      <c r="AN2163" s="52"/>
    </row>
    <row r="2164" spans="16:40" x14ac:dyDescent="0.2">
      <c r="P2164" s="52"/>
      <c r="Q2164" s="52"/>
      <c r="R2164" s="52"/>
      <c r="S2164" s="52"/>
      <c r="T2164" s="52"/>
      <c r="U2164" s="52"/>
      <c r="V2164" s="52"/>
      <c r="W2164" s="52"/>
      <c r="X2164" s="52"/>
      <c r="Y2164" s="52"/>
      <c r="Z2164" s="52"/>
      <c r="AA2164" s="52"/>
      <c r="AB2164" s="52"/>
      <c r="AC2164" s="52"/>
      <c r="AD2164" s="52"/>
      <c r="AE2164" s="52"/>
      <c r="AF2164" s="52"/>
      <c r="AG2164" s="52"/>
      <c r="AH2164" s="52"/>
      <c r="AM2164" s="52"/>
      <c r="AN2164" s="52"/>
    </row>
    <row r="2165" spans="16:40" x14ac:dyDescent="0.2">
      <c r="P2165" s="52"/>
      <c r="Q2165" s="52"/>
      <c r="R2165" s="52"/>
      <c r="S2165" s="52"/>
      <c r="T2165" s="52"/>
      <c r="U2165" s="52"/>
      <c r="V2165" s="52"/>
      <c r="W2165" s="52"/>
      <c r="X2165" s="52"/>
      <c r="Y2165" s="52"/>
      <c r="Z2165" s="52"/>
      <c r="AA2165" s="52"/>
      <c r="AB2165" s="52"/>
      <c r="AC2165" s="52"/>
      <c r="AD2165" s="52"/>
      <c r="AE2165" s="52"/>
      <c r="AF2165" s="52"/>
      <c r="AG2165" s="52"/>
      <c r="AH2165" s="52"/>
      <c r="AM2165" s="52"/>
      <c r="AN2165" s="52"/>
    </row>
    <row r="2166" spans="16:40" x14ac:dyDescent="0.2">
      <c r="P2166" s="52"/>
      <c r="Q2166" s="52"/>
      <c r="R2166" s="52"/>
      <c r="S2166" s="52"/>
      <c r="T2166" s="52"/>
      <c r="U2166" s="52"/>
      <c r="V2166" s="52"/>
      <c r="W2166" s="52"/>
      <c r="X2166" s="52"/>
      <c r="Y2166" s="52"/>
      <c r="Z2166" s="52"/>
      <c r="AA2166" s="52"/>
      <c r="AB2166" s="52"/>
      <c r="AC2166" s="52"/>
      <c r="AD2166" s="52"/>
      <c r="AE2166" s="52"/>
      <c r="AF2166" s="52"/>
      <c r="AG2166" s="52"/>
      <c r="AH2166" s="52"/>
      <c r="AM2166" s="52"/>
      <c r="AN2166" s="52"/>
    </row>
    <row r="2167" spans="16:40" x14ac:dyDescent="0.2">
      <c r="P2167" s="52"/>
      <c r="Q2167" s="52"/>
      <c r="R2167" s="52"/>
      <c r="S2167" s="52"/>
      <c r="T2167" s="52"/>
      <c r="U2167" s="52"/>
      <c r="V2167" s="52"/>
      <c r="W2167" s="52"/>
      <c r="X2167" s="52"/>
      <c r="Y2167" s="52"/>
      <c r="Z2167" s="52"/>
      <c r="AA2167" s="52"/>
      <c r="AB2167" s="52"/>
      <c r="AC2167" s="52"/>
      <c r="AD2167" s="52"/>
      <c r="AE2167" s="52"/>
      <c r="AF2167" s="52"/>
      <c r="AG2167" s="52"/>
      <c r="AH2167" s="52"/>
      <c r="AM2167" s="52"/>
      <c r="AN2167" s="52"/>
    </row>
    <row r="2168" spans="16:40" x14ac:dyDescent="0.2">
      <c r="P2168" s="52"/>
      <c r="Q2168" s="52"/>
      <c r="R2168" s="52"/>
      <c r="S2168" s="52"/>
      <c r="T2168" s="52"/>
      <c r="U2168" s="52"/>
      <c r="V2168" s="52"/>
      <c r="W2168" s="52"/>
      <c r="X2168" s="52"/>
      <c r="Y2168" s="52"/>
      <c r="Z2168" s="52"/>
      <c r="AA2168" s="52"/>
      <c r="AB2168" s="52"/>
      <c r="AC2168" s="52"/>
      <c r="AD2168" s="52"/>
      <c r="AE2168" s="52"/>
      <c r="AF2168" s="52"/>
      <c r="AG2168" s="52"/>
      <c r="AH2168" s="52"/>
      <c r="AM2168" s="52"/>
      <c r="AN2168" s="52"/>
    </row>
    <row r="2169" spans="16:40" x14ac:dyDescent="0.2">
      <c r="P2169" s="52"/>
      <c r="Q2169" s="52"/>
      <c r="R2169" s="52"/>
      <c r="S2169" s="52"/>
      <c r="T2169" s="52"/>
      <c r="U2169" s="52"/>
      <c r="V2169" s="52"/>
      <c r="W2169" s="52"/>
      <c r="X2169" s="52"/>
      <c r="Y2169" s="52"/>
      <c r="Z2169" s="52"/>
      <c r="AA2169" s="52"/>
      <c r="AB2169" s="52"/>
      <c r="AC2169" s="52"/>
      <c r="AD2169" s="52"/>
      <c r="AE2169" s="52"/>
      <c r="AF2169" s="52"/>
      <c r="AG2169" s="52"/>
      <c r="AH2169" s="52"/>
      <c r="AM2169" s="52"/>
      <c r="AN2169" s="52"/>
    </row>
    <row r="2170" spans="16:40" x14ac:dyDescent="0.2">
      <c r="P2170" s="52"/>
      <c r="Q2170" s="52"/>
      <c r="R2170" s="52"/>
      <c r="S2170" s="52"/>
      <c r="T2170" s="52"/>
      <c r="U2170" s="52"/>
      <c r="V2170" s="52"/>
      <c r="W2170" s="52"/>
      <c r="X2170" s="52"/>
      <c r="Y2170" s="52"/>
      <c r="Z2170" s="52"/>
      <c r="AA2170" s="52"/>
      <c r="AB2170" s="52"/>
      <c r="AC2170" s="52"/>
      <c r="AD2170" s="52"/>
      <c r="AE2170" s="52"/>
      <c r="AF2170" s="52"/>
      <c r="AG2170" s="52"/>
      <c r="AH2170" s="52"/>
      <c r="AM2170" s="52"/>
      <c r="AN2170" s="52"/>
    </row>
    <row r="2171" spans="16:40" x14ac:dyDescent="0.2">
      <c r="P2171" s="52"/>
      <c r="Q2171" s="52"/>
      <c r="R2171" s="52"/>
      <c r="S2171" s="52"/>
      <c r="T2171" s="52"/>
      <c r="U2171" s="52"/>
      <c r="V2171" s="52"/>
      <c r="W2171" s="52"/>
      <c r="X2171" s="52"/>
      <c r="Y2171" s="52"/>
      <c r="Z2171" s="52"/>
      <c r="AA2171" s="52"/>
      <c r="AB2171" s="52"/>
      <c r="AC2171" s="52"/>
      <c r="AD2171" s="52"/>
      <c r="AE2171" s="52"/>
      <c r="AF2171" s="52"/>
      <c r="AG2171" s="52"/>
      <c r="AH2171" s="52"/>
      <c r="AM2171" s="52"/>
      <c r="AN2171" s="52"/>
    </row>
    <row r="2172" spans="16:40" x14ac:dyDescent="0.2">
      <c r="P2172" s="52"/>
      <c r="Q2172" s="52"/>
      <c r="R2172" s="52"/>
      <c r="S2172" s="52"/>
      <c r="T2172" s="52"/>
      <c r="U2172" s="52"/>
      <c r="V2172" s="52"/>
      <c r="W2172" s="52"/>
      <c r="X2172" s="52"/>
      <c r="Y2172" s="52"/>
      <c r="Z2172" s="52"/>
      <c r="AA2172" s="52"/>
      <c r="AB2172" s="52"/>
      <c r="AC2172" s="52"/>
      <c r="AD2172" s="52"/>
      <c r="AE2172" s="52"/>
      <c r="AF2172" s="52"/>
      <c r="AG2172" s="52"/>
      <c r="AH2172" s="52"/>
      <c r="AM2172" s="52"/>
      <c r="AN2172" s="52"/>
    </row>
    <row r="2173" spans="16:40" x14ac:dyDescent="0.2">
      <c r="P2173" s="52"/>
      <c r="Q2173" s="52"/>
      <c r="R2173" s="52"/>
      <c r="S2173" s="52"/>
      <c r="T2173" s="52"/>
      <c r="U2173" s="52"/>
      <c r="V2173" s="52"/>
      <c r="W2173" s="52"/>
      <c r="X2173" s="52"/>
      <c r="Y2173" s="52"/>
      <c r="Z2173" s="52"/>
      <c r="AA2173" s="52"/>
      <c r="AB2173" s="52"/>
      <c r="AC2173" s="52"/>
      <c r="AD2173" s="52"/>
      <c r="AE2173" s="52"/>
      <c r="AF2173" s="52"/>
      <c r="AG2173" s="52"/>
      <c r="AH2173" s="52"/>
      <c r="AM2173" s="52"/>
      <c r="AN2173" s="52"/>
    </row>
    <row r="2174" spans="16:40" x14ac:dyDescent="0.2">
      <c r="P2174" s="52"/>
      <c r="Q2174" s="52"/>
      <c r="R2174" s="52"/>
      <c r="S2174" s="52"/>
      <c r="T2174" s="52"/>
      <c r="U2174" s="52"/>
      <c r="V2174" s="52"/>
      <c r="W2174" s="52"/>
      <c r="X2174" s="52"/>
      <c r="Y2174" s="52"/>
      <c r="Z2174" s="52"/>
      <c r="AA2174" s="52"/>
      <c r="AB2174" s="52"/>
      <c r="AC2174" s="52"/>
      <c r="AD2174" s="52"/>
      <c r="AE2174" s="52"/>
      <c r="AF2174" s="52"/>
      <c r="AG2174" s="52"/>
      <c r="AH2174" s="52"/>
      <c r="AM2174" s="52"/>
      <c r="AN2174" s="52"/>
    </row>
    <row r="2175" spans="16:40" x14ac:dyDescent="0.2">
      <c r="P2175" s="52"/>
      <c r="Q2175" s="52"/>
      <c r="R2175" s="52"/>
      <c r="S2175" s="52"/>
      <c r="T2175" s="52"/>
      <c r="U2175" s="52"/>
      <c r="V2175" s="52"/>
      <c r="W2175" s="52"/>
      <c r="X2175" s="52"/>
      <c r="Y2175" s="52"/>
      <c r="Z2175" s="52"/>
      <c r="AA2175" s="52"/>
      <c r="AB2175" s="52"/>
      <c r="AC2175" s="52"/>
      <c r="AD2175" s="52"/>
      <c r="AE2175" s="52"/>
      <c r="AF2175" s="52"/>
      <c r="AG2175" s="52"/>
      <c r="AH2175" s="52"/>
      <c r="AM2175" s="52"/>
      <c r="AN2175" s="52"/>
    </row>
    <row r="2176" spans="16:40" x14ac:dyDescent="0.2">
      <c r="P2176" s="52"/>
      <c r="Q2176" s="52"/>
      <c r="R2176" s="52"/>
      <c r="S2176" s="52"/>
      <c r="T2176" s="52"/>
      <c r="U2176" s="52"/>
      <c r="V2176" s="52"/>
      <c r="W2176" s="52"/>
      <c r="X2176" s="52"/>
      <c r="Y2176" s="52"/>
      <c r="Z2176" s="52"/>
      <c r="AA2176" s="52"/>
      <c r="AB2176" s="52"/>
      <c r="AC2176" s="52"/>
      <c r="AD2176" s="52"/>
      <c r="AE2176" s="52"/>
      <c r="AF2176" s="52"/>
      <c r="AG2176" s="52"/>
      <c r="AH2176" s="52"/>
      <c r="AM2176" s="52"/>
      <c r="AN2176" s="52"/>
    </row>
    <row r="2177" spans="16:40" x14ac:dyDescent="0.2">
      <c r="P2177" s="52"/>
      <c r="Q2177" s="52"/>
      <c r="R2177" s="52"/>
      <c r="S2177" s="52"/>
      <c r="T2177" s="52"/>
      <c r="U2177" s="52"/>
      <c r="V2177" s="52"/>
      <c r="W2177" s="52"/>
      <c r="X2177" s="52"/>
      <c r="Y2177" s="52"/>
      <c r="Z2177" s="52"/>
      <c r="AA2177" s="52"/>
      <c r="AB2177" s="52"/>
      <c r="AC2177" s="52"/>
      <c r="AD2177" s="52"/>
      <c r="AE2177" s="52"/>
      <c r="AF2177" s="52"/>
      <c r="AG2177" s="52"/>
      <c r="AH2177" s="52"/>
      <c r="AM2177" s="52"/>
      <c r="AN2177" s="52"/>
    </row>
    <row r="2178" spans="16:40" x14ac:dyDescent="0.2">
      <c r="P2178" s="52"/>
      <c r="Q2178" s="52"/>
      <c r="R2178" s="52"/>
      <c r="S2178" s="52"/>
      <c r="T2178" s="52"/>
      <c r="U2178" s="52"/>
      <c r="V2178" s="52"/>
      <c r="W2178" s="52"/>
      <c r="X2178" s="52"/>
      <c r="Y2178" s="52"/>
      <c r="Z2178" s="52"/>
      <c r="AA2178" s="52"/>
      <c r="AB2178" s="52"/>
      <c r="AC2178" s="52"/>
      <c r="AD2178" s="52"/>
      <c r="AE2178" s="52"/>
      <c r="AF2178" s="52"/>
      <c r="AG2178" s="52"/>
      <c r="AH2178" s="52"/>
      <c r="AM2178" s="52"/>
      <c r="AN2178" s="52"/>
    </row>
    <row r="2179" spans="16:40" x14ac:dyDescent="0.2">
      <c r="P2179" s="52"/>
      <c r="Q2179" s="52"/>
      <c r="R2179" s="52"/>
      <c r="S2179" s="52"/>
      <c r="T2179" s="52"/>
      <c r="U2179" s="52"/>
      <c r="V2179" s="52"/>
      <c r="W2179" s="52"/>
      <c r="X2179" s="52"/>
      <c r="Y2179" s="52"/>
      <c r="Z2179" s="52"/>
      <c r="AA2179" s="52"/>
      <c r="AB2179" s="52"/>
      <c r="AC2179" s="52"/>
      <c r="AD2179" s="52"/>
      <c r="AE2179" s="52"/>
      <c r="AF2179" s="52"/>
      <c r="AG2179" s="52"/>
      <c r="AH2179" s="52"/>
      <c r="AM2179" s="52"/>
      <c r="AN2179" s="52"/>
    </row>
    <row r="2180" spans="16:40" x14ac:dyDescent="0.2">
      <c r="P2180" s="52"/>
      <c r="Q2180" s="52"/>
      <c r="R2180" s="52"/>
      <c r="S2180" s="52"/>
      <c r="T2180" s="52"/>
      <c r="U2180" s="52"/>
      <c r="V2180" s="52"/>
      <c r="W2180" s="52"/>
      <c r="X2180" s="52"/>
      <c r="Y2180" s="52"/>
      <c r="Z2180" s="52"/>
      <c r="AA2180" s="52"/>
      <c r="AB2180" s="52"/>
      <c r="AC2180" s="52"/>
      <c r="AD2180" s="52"/>
      <c r="AE2180" s="52"/>
      <c r="AF2180" s="52"/>
      <c r="AG2180" s="52"/>
      <c r="AH2180" s="52"/>
      <c r="AM2180" s="52"/>
      <c r="AN2180" s="52"/>
    </row>
    <row r="2181" spans="16:40" x14ac:dyDescent="0.2">
      <c r="P2181" s="52"/>
      <c r="Q2181" s="52"/>
      <c r="R2181" s="52"/>
      <c r="S2181" s="52"/>
      <c r="T2181" s="52"/>
      <c r="U2181" s="52"/>
      <c r="V2181" s="52"/>
      <c r="W2181" s="52"/>
      <c r="X2181" s="52"/>
      <c r="Y2181" s="52"/>
      <c r="Z2181" s="52"/>
      <c r="AA2181" s="52"/>
      <c r="AB2181" s="52"/>
      <c r="AC2181" s="52"/>
      <c r="AD2181" s="52"/>
      <c r="AE2181" s="52"/>
      <c r="AF2181" s="52"/>
      <c r="AG2181" s="52"/>
      <c r="AH2181" s="52"/>
      <c r="AM2181" s="52"/>
      <c r="AN2181" s="52"/>
    </row>
    <row r="2182" spans="16:40" x14ac:dyDescent="0.2">
      <c r="P2182" s="52"/>
      <c r="Q2182" s="52"/>
      <c r="R2182" s="52"/>
      <c r="S2182" s="52"/>
      <c r="T2182" s="52"/>
      <c r="U2182" s="52"/>
      <c r="V2182" s="52"/>
      <c r="W2182" s="52"/>
      <c r="X2182" s="52"/>
      <c r="Y2182" s="52"/>
      <c r="Z2182" s="52"/>
      <c r="AA2182" s="52"/>
      <c r="AB2182" s="52"/>
      <c r="AC2182" s="52"/>
      <c r="AD2182" s="52"/>
      <c r="AE2182" s="52"/>
      <c r="AF2182" s="52"/>
      <c r="AG2182" s="52"/>
      <c r="AH2182" s="52"/>
      <c r="AM2182" s="52"/>
      <c r="AN2182" s="52"/>
    </row>
    <row r="2183" spans="16:40" x14ac:dyDescent="0.2">
      <c r="P2183" s="52"/>
      <c r="Q2183" s="52"/>
      <c r="R2183" s="52"/>
      <c r="S2183" s="52"/>
      <c r="T2183" s="52"/>
      <c r="U2183" s="52"/>
      <c r="V2183" s="52"/>
      <c r="W2183" s="52"/>
      <c r="X2183" s="52"/>
      <c r="Y2183" s="52"/>
      <c r="Z2183" s="52"/>
      <c r="AA2183" s="52"/>
      <c r="AB2183" s="52"/>
      <c r="AC2183" s="52"/>
      <c r="AD2183" s="52"/>
      <c r="AE2183" s="52"/>
      <c r="AF2183" s="52"/>
      <c r="AG2183" s="52"/>
      <c r="AH2183" s="52"/>
      <c r="AM2183" s="52"/>
      <c r="AN2183" s="52"/>
    </row>
    <row r="2184" spans="16:40" x14ac:dyDescent="0.2">
      <c r="P2184" s="52"/>
      <c r="Q2184" s="52"/>
      <c r="R2184" s="52"/>
      <c r="S2184" s="52"/>
      <c r="T2184" s="52"/>
      <c r="U2184" s="52"/>
      <c r="V2184" s="52"/>
      <c r="W2184" s="52"/>
      <c r="X2184" s="52"/>
      <c r="Y2184" s="52"/>
      <c r="Z2184" s="52"/>
      <c r="AA2184" s="52"/>
      <c r="AB2184" s="52"/>
      <c r="AC2184" s="52"/>
      <c r="AD2184" s="52"/>
      <c r="AE2184" s="52"/>
      <c r="AF2184" s="52"/>
      <c r="AG2184" s="52"/>
      <c r="AH2184" s="52"/>
      <c r="AM2184" s="52"/>
      <c r="AN2184" s="52"/>
    </row>
    <row r="2185" spans="16:40" x14ac:dyDescent="0.2">
      <c r="P2185" s="52"/>
      <c r="Q2185" s="52"/>
      <c r="R2185" s="52"/>
      <c r="S2185" s="52"/>
      <c r="T2185" s="52"/>
      <c r="U2185" s="52"/>
      <c r="V2185" s="52"/>
      <c r="W2185" s="52"/>
      <c r="X2185" s="52"/>
      <c r="Y2185" s="52"/>
      <c r="Z2185" s="52"/>
      <c r="AA2185" s="52"/>
      <c r="AB2185" s="52"/>
      <c r="AC2185" s="52"/>
      <c r="AD2185" s="52"/>
      <c r="AE2185" s="52"/>
      <c r="AF2185" s="52"/>
      <c r="AG2185" s="52"/>
      <c r="AH2185" s="52"/>
      <c r="AM2185" s="52"/>
      <c r="AN2185" s="52"/>
    </row>
    <row r="2186" spans="16:40" x14ac:dyDescent="0.2">
      <c r="P2186" s="52"/>
      <c r="Q2186" s="52"/>
      <c r="R2186" s="52"/>
      <c r="S2186" s="52"/>
      <c r="T2186" s="52"/>
      <c r="U2186" s="52"/>
      <c r="V2186" s="52"/>
      <c r="W2186" s="52"/>
      <c r="X2186" s="52"/>
      <c r="Y2186" s="52"/>
      <c r="Z2186" s="52"/>
      <c r="AA2186" s="52"/>
      <c r="AB2186" s="52"/>
      <c r="AC2186" s="52"/>
      <c r="AD2186" s="52"/>
      <c r="AE2186" s="52"/>
      <c r="AF2186" s="52"/>
      <c r="AG2186" s="52"/>
      <c r="AH2186" s="52"/>
      <c r="AM2186" s="52"/>
      <c r="AN2186" s="52"/>
    </row>
    <row r="2187" spans="16:40" x14ac:dyDescent="0.2">
      <c r="P2187" s="52"/>
      <c r="Q2187" s="52"/>
      <c r="R2187" s="52"/>
      <c r="S2187" s="52"/>
      <c r="T2187" s="52"/>
      <c r="U2187" s="52"/>
      <c r="V2187" s="52"/>
      <c r="W2187" s="52"/>
      <c r="X2187" s="52"/>
      <c r="Y2187" s="52"/>
      <c r="Z2187" s="52"/>
      <c r="AA2187" s="52"/>
      <c r="AB2187" s="52"/>
      <c r="AC2187" s="52"/>
      <c r="AD2187" s="52"/>
      <c r="AE2187" s="52"/>
      <c r="AF2187" s="52"/>
      <c r="AG2187" s="52"/>
      <c r="AH2187" s="52"/>
      <c r="AM2187" s="52"/>
      <c r="AN2187" s="52"/>
    </row>
    <row r="2188" spans="16:40" x14ac:dyDescent="0.2"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2"/>
      <c r="AA2188" s="52"/>
      <c r="AB2188" s="52"/>
      <c r="AC2188" s="52"/>
      <c r="AD2188" s="52"/>
      <c r="AE2188" s="52"/>
      <c r="AF2188" s="52"/>
      <c r="AG2188" s="52"/>
      <c r="AH2188" s="52"/>
      <c r="AM2188" s="52"/>
      <c r="AN2188" s="52"/>
    </row>
    <row r="2189" spans="16:40" x14ac:dyDescent="0.2">
      <c r="P2189" s="52"/>
      <c r="Q2189" s="52"/>
      <c r="R2189" s="52"/>
      <c r="S2189" s="52"/>
      <c r="T2189" s="52"/>
      <c r="U2189" s="52"/>
      <c r="V2189" s="52"/>
      <c r="W2189" s="52"/>
      <c r="X2189" s="52"/>
      <c r="Y2189" s="52"/>
      <c r="Z2189" s="52"/>
      <c r="AA2189" s="52"/>
      <c r="AB2189" s="52"/>
      <c r="AC2189" s="52"/>
      <c r="AD2189" s="52"/>
      <c r="AE2189" s="52"/>
      <c r="AF2189" s="52"/>
      <c r="AG2189" s="52"/>
      <c r="AH2189" s="52"/>
      <c r="AM2189" s="52"/>
      <c r="AN2189" s="52"/>
    </row>
    <row r="2190" spans="16:40" x14ac:dyDescent="0.2">
      <c r="P2190" s="52"/>
      <c r="Q2190" s="52"/>
      <c r="R2190" s="52"/>
      <c r="S2190" s="52"/>
      <c r="T2190" s="52"/>
      <c r="U2190" s="52"/>
      <c r="V2190" s="52"/>
      <c r="W2190" s="52"/>
      <c r="X2190" s="52"/>
      <c r="Y2190" s="52"/>
      <c r="Z2190" s="52"/>
      <c r="AA2190" s="52"/>
      <c r="AB2190" s="52"/>
      <c r="AC2190" s="52"/>
      <c r="AD2190" s="52"/>
      <c r="AE2190" s="52"/>
      <c r="AF2190" s="52"/>
      <c r="AG2190" s="52"/>
      <c r="AH2190" s="52"/>
      <c r="AM2190" s="52"/>
      <c r="AN2190" s="52"/>
    </row>
    <row r="2191" spans="16:40" x14ac:dyDescent="0.2">
      <c r="P2191" s="52"/>
      <c r="Q2191" s="52"/>
      <c r="R2191" s="52"/>
      <c r="S2191" s="52"/>
      <c r="T2191" s="52"/>
      <c r="U2191" s="52"/>
      <c r="V2191" s="52"/>
      <c r="W2191" s="52"/>
      <c r="X2191" s="52"/>
      <c r="Y2191" s="52"/>
      <c r="Z2191" s="52"/>
      <c r="AA2191" s="52"/>
      <c r="AB2191" s="52"/>
      <c r="AC2191" s="52"/>
      <c r="AD2191" s="52"/>
      <c r="AE2191" s="52"/>
      <c r="AF2191" s="52"/>
      <c r="AG2191" s="52"/>
      <c r="AH2191" s="52"/>
      <c r="AM2191" s="52"/>
      <c r="AN2191" s="52"/>
    </row>
    <row r="2192" spans="16:40" x14ac:dyDescent="0.2">
      <c r="P2192" s="52"/>
      <c r="Q2192" s="52"/>
      <c r="R2192" s="52"/>
      <c r="S2192" s="52"/>
      <c r="T2192" s="52"/>
      <c r="U2192" s="52"/>
      <c r="V2192" s="52"/>
      <c r="W2192" s="52"/>
      <c r="X2192" s="52"/>
      <c r="Y2192" s="52"/>
      <c r="Z2192" s="52"/>
      <c r="AA2192" s="52"/>
      <c r="AB2192" s="52"/>
      <c r="AC2192" s="52"/>
      <c r="AD2192" s="52"/>
      <c r="AE2192" s="52"/>
      <c r="AF2192" s="52"/>
      <c r="AG2192" s="52"/>
      <c r="AH2192" s="52"/>
      <c r="AM2192" s="52"/>
      <c r="AN2192" s="52"/>
    </row>
    <row r="2193" spans="16:40" x14ac:dyDescent="0.2">
      <c r="P2193" s="52"/>
      <c r="Q2193" s="52"/>
      <c r="R2193" s="52"/>
      <c r="S2193" s="52"/>
      <c r="T2193" s="52"/>
      <c r="U2193" s="52"/>
      <c r="V2193" s="52"/>
      <c r="W2193" s="52"/>
      <c r="X2193" s="52"/>
      <c r="Y2193" s="52"/>
      <c r="Z2193" s="52"/>
      <c r="AA2193" s="52"/>
      <c r="AB2193" s="52"/>
      <c r="AC2193" s="52"/>
      <c r="AD2193" s="52"/>
      <c r="AE2193" s="52"/>
      <c r="AF2193" s="52"/>
      <c r="AG2193" s="52"/>
      <c r="AH2193" s="52"/>
      <c r="AM2193" s="52"/>
      <c r="AN2193" s="52"/>
    </row>
    <row r="2194" spans="16:40" x14ac:dyDescent="0.2">
      <c r="P2194" s="52"/>
      <c r="Q2194" s="52"/>
      <c r="R2194" s="52"/>
      <c r="S2194" s="52"/>
      <c r="T2194" s="52"/>
      <c r="U2194" s="52"/>
      <c r="V2194" s="52"/>
      <c r="W2194" s="52"/>
      <c r="X2194" s="52"/>
      <c r="Y2194" s="52"/>
      <c r="Z2194" s="52"/>
      <c r="AA2194" s="52"/>
      <c r="AB2194" s="52"/>
      <c r="AC2194" s="52"/>
      <c r="AD2194" s="52"/>
      <c r="AE2194" s="52"/>
      <c r="AF2194" s="52"/>
      <c r="AG2194" s="52"/>
      <c r="AH2194" s="52"/>
      <c r="AM2194" s="52"/>
      <c r="AN2194" s="52"/>
    </row>
    <row r="2195" spans="16:40" x14ac:dyDescent="0.2">
      <c r="P2195" s="52"/>
      <c r="Q2195" s="52"/>
      <c r="R2195" s="52"/>
      <c r="S2195" s="52"/>
      <c r="T2195" s="52"/>
      <c r="U2195" s="52"/>
      <c r="V2195" s="52"/>
      <c r="W2195" s="52"/>
      <c r="X2195" s="52"/>
      <c r="Y2195" s="52"/>
      <c r="Z2195" s="52"/>
      <c r="AA2195" s="52"/>
      <c r="AB2195" s="52"/>
      <c r="AC2195" s="52"/>
      <c r="AD2195" s="52"/>
      <c r="AE2195" s="52"/>
      <c r="AF2195" s="52"/>
      <c r="AG2195" s="52"/>
      <c r="AH2195" s="52"/>
      <c r="AM2195" s="52"/>
      <c r="AN2195" s="52"/>
    </row>
    <row r="2196" spans="16:40" x14ac:dyDescent="0.2">
      <c r="P2196" s="52"/>
      <c r="Q2196" s="52"/>
      <c r="R2196" s="52"/>
      <c r="S2196" s="52"/>
      <c r="T2196" s="52"/>
      <c r="U2196" s="52"/>
      <c r="V2196" s="52"/>
      <c r="W2196" s="52"/>
      <c r="X2196" s="52"/>
      <c r="Y2196" s="52"/>
      <c r="Z2196" s="52"/>
      <c r="AA2196" s="52"/>
      <c r="AB2196" s="52"/>
      <c r="AC2196" s="52"/>
      <c r="AD2196" s="52"/>
      <c r="AE2196" s="52"/>
      <c r="AF2196" s="52"/>
      <c r="AG2196" s="52"/>
      <c r="AH2196" s="52"/>
      <c r="AM2196" s="52"/>
      <c r="AN2196" s="52"/>
    </row>
    <row r="2197" spans="16:40" x14ac:dyDescent="0.2">
      <c r="P2197" s="52"/>
      <c r="Q2197" s="52"/>
      <c r="R2197" s="52"/>
      <c r="S2197" s="52"/>
      <c r="T2197" s="52"/>
      <c r="U2197" s="52"/>
      <c r="V2197" s="52"/>
      <c r="W2197" s="52"/>
      <c r="X2197" s="52"/>
      <c r="Y2197" s="52"/>
      <c r="Z2197" s="52"/>
      <c r="AA2197" s="52"/>
      <c r="AB2197" s="52"/>
      <c r="AC2197" s="52"/>
      <c r="AD2197" s="52"/>
      <c r="AE2197" s="52"/>
      <c r="AF2197" s="52"/>
      <c r="AG2197" s="52"/>
      <c r="AH2197" s="52"/>
      <c r="AM2197" s="52"/>
      <c r="AN2197" s="52"/>
    </row>
    <row r="2198" spans="16:40" x14ac:dyDescent="0.2">
      <c r="P2198" s="52"/>
      <c r="Q2198" s="52"/>
      <c r="R2198" s="52"/>
      <c r="S2198" s="52"/>
      <c r="T2198" s="52"/>
      <c r="U2198" s="52"/>
      <c r="V2198" s="52"/>
      <c r="W2198" s="52"/>
      <c r="X2198" s="52"/>
      <c r="Y2198" s="52"/>
      <c r="Z2198" s="52"/>
      <c r="AA2198" s="52"/>
      <c r="AB2198" s="52"/>
      <c r="AC2198" s="52"/>
      <c r="AD2198" s="52"/>
      <c r="AE2198" s="52"/>
      <c r="AF2198" s="52"/>
      <c r="AG2198" s="52"/>
      <c r="AH2198" s="52"/>
      <c r="AM2198" s="52"/>
      <c r="AN2198" s="52"/>
    </row>
    <row r="2199" spans="16:40" x14ac:dyDescent="0.2">
      <c r="P2199" s="52"/>
      <c r="Q2199" s="52"/>
      <c r="R2199" s="52"/>
      <c r="S2199" s="52"/>
      <c r="T2199" s="52"/>
      <c r="U2199" s="52"/>
      <c r="V2199" s="52"/>
      <c r="W2199" s="52"/>
      <c r="X2199" s="52"/>
      <c r="Y2199" s="52"/>
      <c r="Z2199" s="52"/>
      <c r="AA2199" s="52"/>
      <c r="AB2199" s="52"/>
      <c r="AC2199" s="52"/>
      <c r="AD2199" s="52"/>
      <c r="AE2199" s="52"/>
      <c r="AF2199" s="52"/>
      <c r="AG2199" s="52"/>
      <c r="AH2199" s="52"/>
      <c r="AM2199" s="52"/>
      <c r="AN2199" s="52"/>
    </row>
    <row r="2200" spans="16:40" x14ac:dyDescent="0.2">
      <c r="P2200" s="52"/>
      <c r="Q2200" s="52"/>
      <c r="R2200" s="52"/>
      <c r="S2200" s="52"/>
      <c r="T2200" s="52"/>
      <c r="U2200" s="52"/>
      <c r="V2200" s="52"/>
      <c r="W2200" s="52"/>
      <c r="X2200" s="52"/>
      <c r="Y2200" s="52"/>
      <c r="Z2200" s="52"/>
      <c r="AA2200" s="52"/>
      <c r="AB2200" s="52"/>
      <c r="AC2200" s="52"/>
      <c r="AD2200" s="52"/>
      <c r="AE2200" s="52"/>
      <c r="AF2200" s="52"/>
      <c r="AG2200" s="52"/>
      <c r="AH2200" s="52"/>
      <c r="AM2200" s="52"/>
      <c r="AN2200" s="52"/>
    </row>
    <row r="2201" spans="16:40" x14ac:dyDescent="0.2">
      <c r="P2201" s="52"/>
      <c r="Q2201" s="52"/>
      <c r="R2201" s="52"/>
      <c r="S2201" s="52"/>
      <c r="T2201" s="52"/>
      <c r="U2201" s="52"/>
      <c r="V2201" s="52"/>
      <c r="W2201" s="52"/>
      <c r="X2201" s="52"/>
      <c r="Y2201" s="52"/>
      <c r="Z2201" s="52"/>
      <c r="AA2201" s="52"/>
      <c r="AB2201" s="52"/>
      <c r="AC2201" s="52"/>
      <c r="AD2201" s="52"/>
      <c r="AE2201" s="52"/>
      <c r="AF2201" s="52"/>
      <c r="AG2201" s="52"/>
      <c r="AH2201" s="52"/>
      <c r="AM2201" s="52"/>
      <c r="AN2201" s="52"/>
    </row>
    <row r="2202" spans="16:40" x14ac:dyDescent="0.2">
      <c r="P2202" s="52"/>
      <c r="Q2202" s="52"/>
      <c r="R2202" s="52"/>
      <c r="S2202" s="52"/>
      <c r="T2202" s="52"/>
      <c r="U2202" s="52"/>
      <c r="V2202" s="52"/>
      <c r="W2202" s="52"/>
      <c r="X2202" s="52"/>
      <c r="Y2202" s="52"/>
      <c r="Z2202" s="52"/>
      <c r="AA2202" s="52"/>
      <c r="AB2202" s="52"/>
      <c r="AC2202" s="52"/>
      <c r="AD2202" s="52"/>
      <c r="AE2202" s="52"/>
      <c r="AF2202" s="52"/>
      <c r="AG2202" s="52"/>
      <c r="AH2202" s="52"/>
      <c r="AM2202" s="52"/>
      <c r="AN2202" s="52"/>
    </row>
    <row r="2203" spans="16:40" x14ac:dyDescent="0.2">
      <c r="P2203" s="52"/>
      <c r="Q2203" s="52"/>
      <c r="R2203" s="52"/>
      <c r="S2203" s="52"/>
      <c r="T2203" s="52"/>
      <c r="U2203" s="52"/>
      <c r="V2203" s="52"/>
      <c r="W2203" s="52"/>
      <c r="X2203" s="52"/>
      <c r="Y2203" s="52"/>
      <c r="Z2203" s="52"/>
      <c r="AA2203" s="52"/>
      <c r="AB2203" s="52"/>
      <c r="AC2203" s="52"/>
      <c r="AD2203" s="52"/>
      <c r="AE2203" s="52"/>
      <c r="AF2203" s="52"/>
      <c r="AG2203" s="52"/>
      <c r="AH2203" s="52"/>
      <c r="AM2203" s="52"/>
      <c r="AN2203" s="52"/>
    </row>
    <row r="2204" spans="16:40" x14ac:dyDescent="0.2">
      <c r="P2204" s="52"/>
      <c r="Q2204" s="52"/>
      <c r="R2204" s="52"/>
      <c r="S2204" s="52"/>
      <c r="T2204" s="52"/>
      <c r="U2204" s="52"/>
      <c r="V2204" s="52"/>
      <c r="W2204" s="52"/>
      <c r="X2204" s="52"/>
      <c r="Y2204" s="52"/>
      <c r="Z2204" s="52"/>
      <c r="AA2204" s="52"/>
      <c r="AB2204" s="52"/>
      <c r="AC2204" s="52"/>
      <c r="AD2204" s="52"/>
      <c r="AE2204" s="52"/>
      <c r="AF2204" s="52"/>
      <c r="AG2204" s="52"/>
      <c r="AH2204" s="52"/>
      <c r="AM2204" s="52"/>
      <c r="AN2204" s="52"/>
    </row>
    <row r="2205" spans="16:40" x14ac:dyDescent="0.2">
      <c r="P2205" s="52"/>
      <c r="Q2205" s="52"/>
      <c r="R2205" s="52"/>
      <c r="S2205" s="52"/>
      <c r="T2205" s="52"/>
      <c r="U2205" s="52"/>
      <c r="V2205" s="52"/>
      <c r="W2205" s="52"/>
      <c r="X2205" s="52"/>
      <c r="Y2205" s="52"/>
      <c r="Z2205" s="52"/>
      <c r="AA2205" s="52"/>
      <c r="AB2205" s="52"/>
      <c r="AC2205" s="52"/>
      <c r="AD2205" s="52"/>
      <c r="AE2205" s="52"/>
      <c r="AF2205" s="52"/>
      <c r="AG2205" s="52"/>
      <c r="AH2205" s="52"/>
      <c r="AM2205" s="52"/>
      <c r="AN2205" s="52"/>
    </row>
    <row r="2206" spans="16:40" x14ac:dyDescent="0.2">
      <c r="P2206" s="52"/>
      <c r="Q2206" s="52"/>
      <c r="R2206" s="52"/>
      <c r="S2206" s="52"/>
      <c r="T2206" s="52"/>
      <c r="U2206" s="52"/>
      <c r="V2206" s="52"/>
      <c r="W2206" s="52"/>
      <c r="X2206" s="52"/>
      <c r="Y2206" s="52"/>
      <c r="Z2206" s="52"/>
      <c r="AA2206" s="52"/>
      <c r="AB2206" s="52"/>
      <c r="AC2206" s="52"/>
      <c r="AD2206" s="52"/>
      <c r="AE2206" s="52"/>
      <c r="AF2206" s="52"/>
      <c r="AG2206" s="52"/>
      <c r="AH2206" s="52"/>
      <c r="AM2206" s="52"/>
      <c r="AN2206" s="52"/>
    </row>
    <row r="2207" spans="16:40" x14ac:dyDescent="0.2">
      <c r="P2207" s="52"/>
      <c r="Q2207" s="52"/>
      <c r="R2207" s="52"/>
      <c r="S2207" s="52"/>
      <c r="T2207" s="52"/>
      <c r="U2207" s="52"/>
      <c r="V2207" s="52"/>
      <c r="W2207" s="52"/>
      <c r="X2207" s="52"/>
      <c r="Y2207" s="52"/>
      <c r="Z2207" s="52"/>
      <c r="AA2207" s="52"/>
      <c r="AB2207" s="52"/>
      <c r="AC2207" s="52"/>
      <c r="AD2207" s="52"/>
      <c r="AE2207" s="52"/>
      <c r="AF2207" s="52"/>
      <c r="AG2207" s="52"/>
      <c r="AH2207" s="52"/>
      <c r="AM2207" s="52"/>
      <c r="AN2207" s="52"/>
    </row>
    <row r="2208" spans="16:40" x14ac:dyDescent="0.2">
      <c r="P2208" s="52"/>
      <c r="Q2208" s="52"/>
      <c r="R2208" s="52"/>
      <c r="S2208" s="52"/>
      <c r="T2208" s="52"/>
      <c r="U2208" s="52"/>
      <c r="V2208" s="52"/>
      <c r="W2208" s="52"/>
      <c r="X2208" s="52"/>
      <c r="Y2208" s="52"/>
      <c r="Z2208" s="52"/>
      <c r="AA2208" s="52"/>
      <c r="AB2208" s="52"/>
      <c r="AC2208" s="52"/>
      <c r="AD2208" s="52"/>
      <c r="AE2208" s="52"/>
      <c r="AF2208" s="52"/>
      <c r="AG2208" s="52"/>
      <c r="AH2208" s="52"/>
      <c r="AM2208" s="52"/>
      <c r="AN2208" s="52"/>
    </row>
    <row r="2209" spans="16:40" x14ac:dyDescent="0.2">
      <c r="P2209" s="52"/>
      <c r="Q2209" s="52"/>
      <c r="R2209" s="52"/>
      <c r="S2209" s="52"/>
      <c r="T2209" s="52"/>
      <c r="U2209" s="52"/>
      <c r="V2209" s="52"/>
      <c r="W2209" s="52"/>
      <c r="X2209" s="52"/>
      <c r="Y2209" s="52"/>
      <c r="Z2209" s="52"/>
      <c r="AA2209" s="52"/>
      <c r="AB2209" s="52"/>
      <c r="AC2209" s="52"/>
      <c r="AD2209" s="52"/>
      <c r="AE2209" s="52"/>
      <c r="AF2209" s="52"/>
      <c r="AG2209" s="52"/>
      <c r="AH2209" s="52"/>
      <c r="AM2209" s="52"/>
      <c r="AN2209" s="52"/>
    </row>
    <row r="2210" spans="16:40" x14ac:dyDescent="0.2">
      <c r="P2210" s="52"/>
      <c r="Q2210" s="52"/>
      <c r="R2210" s="52"/>
      <c r="S2210" s="52"/>
      <c r="T2210" s="52"/>
      <c r="U2210" s="52"/>
      <c r="V2210" s="52"/>
      <c r="W2210" s="52"/>
      <c r="X2210" s="52"/>
      <c r="Y2210" s="52"/>
      <c r="Z2210" s="52"/>
      <c r="AA2210" s="52"/>
      <c r="AB2210" s="52"/>
      <c r="AC2210" s="52"/>
      <c r="AD2210" s="52"/>
      <c r="AE2210" s="52"/>
      <c r="AF2210" s="52"/>
      <c r="AG2210" s="52"/>
      <c r="AH2210" s="52"/>
      <c r="AM2210" s="52"/>
      <c r="AN2210" s="52"/>
    </row>
    <row r="2211" spans="16:40" x14ac:dyDescent="0.2">
      <c r="P2211" s="52"/>
      <c r="Q2211" s="52"/>
      <c r="R2211" s="52"/>
      <c r="S2211" s="52"/>
      <c r="T2211" s="52"/>
      <c r="U2211" s="52"/>
      <c r="V2211" s="52"/>
      <c r="W2211" s="52"/>
      <c r="X2211" s="52"/>
      <c r="Y2211" s="52"/>
      <c r="Z2211" s="52"/>
      <c r="AA2211" s="52"/>
      <c r="AB2211" s="52"/>
      <c r="AC2211" s="52"/>
      <c r="AD2211" s="52"/>
      <c r="AE2211" s="52"/>
      <c r="AF2211" s="52"/>
      <c r="AG2211" s="52"/>
      <c r="AH2211" s="52"/>
      <c r="AM2211" s="52"/>
      <c r="AN2211" s="52"/>
    </row>
    <row r="2212" spans="16:40" x14ac:dyDescent="0.2">
      <c r="P2212" s="52"/>
      <c r="Q2212" s="52"/>
      <c r="R2212" s="52"/>
      <c r="S2212" s="52"/>
      <c r="T2212" s="52"/>
      <c r="U2212" s="52"/>
      <c r="V2212" s="52"/>
      <c r="W2212" s="52"/>
      <c r="X2212" s="52"/>
      <c r="Y2212" s="52"/>
      <c r="Z2212" s="52"/>
      <c r="AA2212" s="52"/>
      <c r="AB2212" s="52"/>
      <c r="AC2212" s="52"/>
      <c r="AD2212" s="52"/>
      <c r="AE2212" s="52"/>
      <c r="AF2212" s="52"/>
      <c r="AG2212" s="52"/>
      <c r="AH2212" s="52"/>
      <c r="AM2212" s="52"/>
      <c r="AN2212" s="52"/>
    </row>
    <row r="2213" spans="16:40" x14ac:dyDescent="0.2">
      <c r="P2213" s="52"/>
      <c r="Q2213" s="52"/>
      <c r="R2213" s="52"/>
      <c r="S2213" s="52"/>
      <c r="T2213" s="52"/>
      <c r="U2213" s="52"/>
      <c r="V2213" s="52"/>
      <c r="W2213" s="52"/>
      <c r="X2213" s="52"/>
      <c r="Y2213" s="52"/>
      <c r="Z2213" s="52"/>
      <c r="AA2213" s="52"/>
      <c r="AB2213" s="52"/>
      <c r="AC2213" s="52"/>
      <c r="AD2213" s="52"/>
      <c r="AE2213" s="52"/>
      <c r="AF2213" s="52"/>
      <c r="AG2213" s="52"/>
      <c r="AH2213" s="52"/>
      <c r="AM2213" s="52"/>
      <c r="AN2213" s="52"/>
    </row>
    <row r="2214" spans="16:40" x14ac:dyDescent="0.2">
      <c r="P2214" s="52"/>
      <c r="Q2214" s="52"/>
      <c r="R2214" s="52"/>
      <c r="S2214" s="52"/>
      <c r="T2214" s="52"/>
      <c r="U2214" s="52"/>
      <c r="V2214" s="52"/>
      <c r="W2214" s="52"/>
      <c r="X2214" s="52"/>
      <c r="Y2214" s="52"/>
      <c r="Z2214" s="52"/>
      <c r="AA2214" s="52"/>
      <c r="AB2214" s="52"/>
      <c r="AC2214" s="52"/>
      <c r="AD2214" s="52"/>
      <c r="AE2214" s="52"/>
      <c r="AF2214" s="52"/>
      <c r="AG2214" s="52"/>
      <c r="AH2214" s="52"/>
      <c r="AM2214" s="52"/>
      <c r="AN2214" s="52"/>
    </row>
    <row r="2215" spans="16:40" x14ac:dyDescent="0.2">
      <c r="P2215" s="52"/>
      <c r="Q2215" s="52"/>
      <c r="R2215" s="52"/>
      <c r="S2215" s="52"/>
      <c r="T2215" s="52"/>
      <c r="U2215" s="52"/>
      <c r="V2215" s="52"/>
      <c r="W2215" s="52"/>
      <c r="X2215" s="52"/>
      <c r="Y2215" s="52"/>
      <c r="Z2215" s="52"/>
      <c r="AA2215" s="52"/>
      <c r="AB2215" s="52"/>
      <c r="AC2215" s="52"/>
      <c r="AD2215" s="52"/>
      <c r="AE2215" s="52"/>
      <c r="AF2215" s="52"/>
      <c r="AG2215" s="52"/>
      <c r="AH2215" s="52"/>
      <c r="AM2215" s="52"/>
      <c r="AN2215" s="52"/>
    </row>
    <row r="2216" spans="16:40" x14ac:dyDescent="0.2">
      <c r="P2216" s="52"/>
      <c r="Q2216" s="52"/>
      <c r="R2216" s="52"/>
      <c r="S2216" s="52"/>
      <c r="T2216" s="52"/>
      <c r="U2216" s="52"/>
      <c r="V2216" s="52"/>
      <c r="W2216" s="52"/>
      <c r="X2216" s="52"/>
      <c r="Y2216" s="52"/>
      <c r="Z2216" s="52"/>
      <c r="AA2216" s="52"/>
      <c r="AB2216" s="52"/>
      <c r="AC2216" s="52"/>
      <c r="AD2216" s="52"/>
      <c r="AE2216" s="52"/>
      <c r="AF2216" s="52"/>
      <c r="AG2216" s="52"/>
      <c r="AH2216" s="52"/>
      <c r="AM2216" s="52"/>
      <c r="AN2216" s="52"/>
    </row>
    <row r="2217" spans="16:40" x14ac:dyDescent="0.2">
      <c r="P2217" s="52"/>
      <c r="Q2217" s="52"/>
      <c r="R2217" s="52"/>
      <c r="S2217" s="52"/>
      <c r="T2217" s="52"/>
      <c r="U2217" s="52"/>
      <c r="V2217" s="52"/>
      <c r="W2217" s="52"/>
      <c r="X2217" s="52"/>
      <c r="Y2217" s="52"/>
      <c r="Z2217" s="52"/>
      <c r="AA2217" s="52"/>
      <c r="AB2217" s="52"/>
      <c r="AC2217" s="52"/>
      <c r="AD2217" s="52"/>
      <c r="AE2217" s="52"/>
      <c r="AF2217" s="52"/>
      <c r="AG2217" s="52"/>
      <c r="AH2217" s="52"/>
      <c r="AM2217" s="52"/>
      <c r="AN2217" s="52"/>
    </row>
    <row r="2218" spans="16:40" x14ac:dyDescent="0.2">
      <c r="P2218" s="52"/>
      <c r="Q2218" s="52"/>
      <c r="R2218" s="52"/>
      <c r="S2218" s="52"/>
      <c r="T2218" s="52"/>
      <c r="U2218" s="52"/>
      <c r="V2218" s="52"/>
      <c r="W2218" s="52"/>
      <c r="X2218" s="52"/>
      <c r="Y2218" s="52"/>
      <c r="Z2218" s="52"/>
      <c r="AA2218" s="52"/>
      <c r="AB2218" s="52"/>
      <c r="AC2218" s="52"/>
      <c r="AD2218" s="52"/>
      <c r="AE2218" s="52"/>
      <c r="AF2218" s="52"/>
      <c r="AG2218" s="52"/>
      <c r="AH2218" s="52"/>
      <c r="AM2218" s="52"/>
      <c r="AN2218" s="52"/>
    </row>
    <row r="2219" spans="16:40" x14ac:dyDescent="0.2">
      <c r="P2219" s="52"/>
      <c r="Q2219" s="52"/>
      <c r="R2219" s="52"/>
      <c r="S2219" s="52"/>
      <c r="T2219" s="52"/>
      <c r="U2219" s="52"/>
      <c r="V2219" s="52"/>
      <c r="W2219" s="52"/>
      <c r="X2219" s="52"/>
      <c r="Y2219" s="52"/>
      <c r="Z2219" s="52"/>
      <c r="AA2219" s="52"/>
      <c r="AB2219" s="52"/>
      <c r="AC2219" s="52"/>
      <c r="AD2219" s="52"/>
      <c r="AE2219" s="52"/>
      <c r="AF2219" s="52"/>
      <c r="AG2219" s="52"/>
      <c r="AH2219" s="52"/>
      <c r="AM2219" s="52"/>
      <c r="AN2219" s="52"/>
    </row>
    <row r="2220" spans="16:40" x14ac:dyDescent="0.2">
      <c r="P2220" s="52"/>
      <c r="Q2220" s="52"/>
      <c r="R2220" s="52"/>
      <c r="S2220" s="52"/>
      <c r="T2220" s="52"/>
      <c r="U2220" s="52"/>
      <c r="V2220" s="52"/>
      <c r="W2220" s="52"/>
      <c r="X2220" s="52"/>
      <c r="Y2220" s="52"/>
      <c r="Z2220" s="52"/>
      <c r="AA2220" s="52"/>
      <c r="AB2220" s="52"/>
      <c r="AC2220" s="52"/>
      <c r="AD2220" s="52"/>
      <c r="AE2220" s="52"/>
      <c r="AF2220" s="52"/>
      <c r="AG2220" s="52"/>
      <c r="AH2220" s="52"/>
      <c r="AM2220" s="52"/>
      <c r="AN2220" s="52"/>
    </row>
    <row r="2221" spans="16:40" x14ac:dyDescent="0.2">
      <c r="P2221" s="52"/>
      <c r="Q2221" s="52"/>
      <c r="R2221" s="52"/>
      <c r="S2221" s="52"/>
      <c r="T2221" s="52"/>
      <c r="U2221" s="52"/>
      <c r="V2221" s="52"/>
      <c r="W2221" s="52"/>
      <c r="X2221" s="52"/>
      <c r="Y2221" s="52"/>
      <c r="Z2221" s="52"/>
      <c r="AA2221" s="52"/>
      <c r="AB2221" s="52"/>
      <c r="AC2221" s="52"/>
      <c r="AD2221" s="52"/>
      <c r="AE2221" s="52"/>
      <c r="AF2221" s="52"/>
      <c r="AG2221" s="52"/>
      <c r="AH2221" s="52"/>
      <c r="AM2221" s="52"/>
      <c r="AN2221" s="52"/>
    </row>
    <row r="2222" spans="16:40" x14ac:dyDescent="0.2">
      <c r="P2222" s="52"/>
      <c r="Q2222" s="52"/>
      <c r="R2222" s="52"/>
      <c r="S2222" s="52"/>
      <c r="T2222" s="52"/>
      <c r="U2222" s="52"/>
      <c r="V2222" s="52"/>
      <c r="W2222" s="52"/>
      <c r="X2222" s="52"/>
      <c r="Y2222" s="52"/>
      <c r="Z2222" s="52"/>
      <c r="AA2222" s="52"/>
      <c r="AB2222" s="52"/>
      <c r="AC2222" s="52"/>
      <c r="AD2222" s="52"/>
      <c r="AE2222" s="52"/>
      <c r="AF2222" s="52"/>
      <c r="AG2222" s="52"/>
      <c r="AH2222" s="52"/>
      <c r="AM2222" s="52"/>
      <c r="AN2222" s="52"/>
    </row>
    <row r="2223" spans="16:40" x14ac:dyDescent="0.2">
      <c r="P2223" s="52"/>
      <c r="Q2223" s="52"/>
      <c r="R2223" s="52"/>
      <c r="S2223" s="52"/>
      <c r="T2223" s="52"/>
      <c r="U2223" s="52"/>
      <c r="V2223" s="52"/>
      <c r="W2223" s="52"/>
      <c r="X2223" s="52"/>
      <c r="Y2223" s="52"/>
      <c r="Z2223" s="52"/>
      <c r="AA2223" s="52"/>
      <c r="AB2223" s="52"/>
      <c r="AC2223" s="52"/>
      <c r="AD2223" s="52"/>
      <c r="AE2223" s="52"/>
      <c r="AF2223" s="52"/>
      <c r="AG2223" s="52"/>
      <c r="AH2223" s="52"/>
      <c r="AM2223" s="52"/>
      <c r="AN2223" s="52"/>
    </row>
    <row r="2224" spans="16:40" x14ac:dyDescent="0.2">
      <c r="P2224" s="52"/>
      <c r="Q2224" s="52"/>
      <c r="R2224" s="52"/>
      <c r="S2224" s="52"/>
      <c r="T2224" s="52"/>
      <c r="U2224" s="52"/>
      <c r="V2224" s="52"/>
      <c r="W2224" s="52"/>
      <c r="X2224" s="52"/>
      <c r="Y2224" s="52"/>
      <c r="Z2224" s="52"/>
      <c r="AA2224" s="52"/>
      <c r="AB2224" s="52"/>
      <c r="AC2224" s="52"/>
      <c r="AD2224" s="52"/>
      <c r="AE2224" s="52"/>
      <c r="AF2224" s="52"/>
      <c r="AG2224" s="52"/>
      <c r="AH2224" s="52"/>
      <c r="AM2224" s="52"/>
      <c r="AN2224" s="52"/>
    </row>
    <row r="2225" spans="16:40" x14ac:dyDescent="0.2">
      <c r="P2225" s="52"/>
      <c r="Q2225" s="52"/>
      <c r="R2225" s="52"/>
      <c r="S2225" s="52"/>
      <c r="T2225" s="52"/>
      <c r="U2225" s="52"/>
      <c r="V2225" s="52"/>
      <c r="W2225" s="52"/>
      <c r="X2225" s="52"/>
      <c r="Y2225" s="52"/>
      <c r="Z2225" s="52"/>
      <c r="AA2225" s="52"/>
      <c r="AB2225" s="52"/>
      <c r="AC2225" s="52"/>
      <c r="AD2225" s="52"/>
      <c r="AE2225" s="52"/>
      <c r="AF2225" s="52"/>
      <c r="AG2225" s="52"/>
      <c r="AH2225" s="52"/>
      <c r="AM2225" s="52"/>
      <c r="AN2225" s="52"/>
    </row>
    <row r="2226" spans="16:40" x14ac:dyDescent="0.2"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2"/>
      <c r="AA2226" s="52"/>
      <c r="AB2226" s="52"/>
      <c r="AC2226" s="52"/>
      <c r="AD2226" s="52"/>
      <c r="AE2226" s="52"/>
      <c r="AF2226" s="52"/>
      <c r="AG2226" s="52"/>
      <c r="AH2226" s="52"/>
      <c r="AM2226" s="52"/>
      <c r="AN2226" s="52"/>
    </row>
    <row r="2227" spans="16:40" x14ac:dyDescent="0.2">
      <c r="P2227" s="52"/>
      <c r="Q2227" s="52"/>
      <c r="R2227" s="52"/>
      <c r="S2227" s="52"/>
      <c r="T2227" s="52"/>
      <c r="U2227" s="52"/>
      <c r="V2227" s="52"/>
      <c r="W2227" s="52"/>
      <c r="X2227" s="52"/>
      <c r="Y2227" s="52"/>
      <c r="Z2227" s="52"/>
      <c r="AA2227" s="52"/>
      <c r="AB2227" s="52"/>
      <c r="AC2227" s="52"/>
      <c r="AD2227" s="52"/>
      <c r="AE2227" s="52"/>
      <c r="AF2227" s="52"/>
      <c r="AG2227" s="52"/>
      <c r="AH2227" s="52"/>
      <c r="AM2227" s="52"/>
      <c r="AN2227" s="52"/>
    </row>
    <row r="2228" spans="16:40" x14ac:dyDescent="0.2">
      <c r="P2228" s="52"/>
      <c r="Q2228" s="52"/>
      <c r="R2228" s="52"/>
      <c r="S2228" s="52"/>
      <c r="T2228" s="52"/>
      <c r="U2228" s="52"/>
      <c r="V2228" s="52"/>
      <c r="W2228" s="52"/>
      <c r="X2228" s="52"/>
      <c r="Y2228" s="52"/>
      <c r="Z2228" s="52"/>
      <c r="AA2228" s="52"/>
      <c r="AB2228" s="52"/>
      <c r="AC2228" s="52"/>
      <c r="AD2228" s="52"/>
      <c r="AE2228" s="52"/>
      <c r="AF2228" s="52"/>
      <c r="AG2228" s="52"/>
      <c r="AH2228" s="52"/>
      <c r="AM2228" s="52"/>
      <c r="AN2228" s="52"/>
    </row>
    <row r="2229" spans="16:40" x14ac:dyDescent="0.2">
      <c r="P2229" s="52"/>
      <c r="Q2229" s="52"/>
      <c r="R2229" s="52"/>
      <c r="S2229" s="52"/>
      <c r="T2229" s="52"/>
      <c r="U2229" s="52"/>
      <c r="V2229" s="52"/>
      <c r="W2229" s="52"/>
      <c r="X2229" s="52"/>
      <c r="Y2229" s="52"/>
      <c r="Z2229" s="52"/>
      <c r="AA2229" s="52"/>
      <c r="AB2229" s="52"/>
      <c r="AC2229" s="52"/>
      <c r="AD2229" s="52"/>
      <c r="AE2229" s="52"/>
      <c r="AF2229" s="52"/>
      <c r="AG2229" s="52"/>
      <c r="AH2229" s="52"/>
      <c r="AM2229" s="52"/>
      <c r="AN2229" s="52"/>
    </row>
    <row r="2230" spans="16:40" x14ac:dyDescent="0.2">
      <c r="P2230" s="52"/>
      <c r="Q2230" s="52"/>
      <c r="R2230" s="52"/>
      <c r="S2230" s="52"/>
      <c r="T2230" s="52"/>
      <c r="U2230" s="52"/>
      <c r="V2230" s="52"/>
      <c r="W2230" s="52"/>
      <c r="X2230" s="52"/>
      <c r="Y2230" s="52"/>
      <c r="Z2230" s="52"/>
      <c r="AA2230" s="52"/>
      <c r="AB2230" s="52"/>
      <c r="AC2230" s="52"/>
      <c r="AD2230" s="52"/>
      <c r="AE2230" s="52"/>
      <c r="AF2230" s="52"/>
      <c r="AG2230" s="52"/>
      <c r="AH2230" s="52"/>
      <c r="AM2230" s="52"/>
      <c r="AN2230" s="52"/>
    </row>
    <row r="2231" spans="16:40" x14ac:dyDescent="0.2">
      <c r="P2231" s="52"/>
      <c r="Q2231" s="52"/>
      <c r="R2231" s="52"/>
      <c r="S2231" s="52"/>
      <c r="T2231" s="52"/>
      <c r="U2231" s="52"/>
      <c r="V2231" s="52"/>
      <c r="W2231" s="52"/>
      <c r="X2231" s="52"/>
      <c r="Y2231" s="52"/>
      <c r="Z2231" s="52"/>
      <c r="AA2231" s="52"/>
      <c r="AB2231" s="52"/>
      <c r="AC2231" s="52"/>
      <c r="AD2231" s="52"/>
      <c r="AE2231" s="52"/>
      <c r="AF2231" s="52"/>
      <c r="AG2231" s="52"/>
      <c r="AH2231" s="52"/>
      <c r="AM2231" s="52"/>
      <c r="AN2231" s="52"/>
    </row>
    <row r="2232" spans="16:40" x14ac:dyDescent="0.2">
      <c r="P2232" s="52"/>
      <c r="Q2232" s="52"/>
      <c r="R2232" s="52"/>
      <c r="S2232" s="52"/>
      <c r="T2232" s="52"/>
      <c r="U2232" s="52"/>
      <c r="V2232" s="52"/>
      <c r="W2232" s="52"/>
      <c r="X2232" s="52"/>
      <c r="Y2232" s="52"/>
      <c r="Z2232" s="52"/>
      <c r="AA2232" s="52"/>
      <c r="AB2232" s="52"/>
      <c r="AC2232" s="52"/>
      <c r="AD2232" s="52"/>
      <c r="AE2232" s="52"/>
      <c r="AF2232" s="52"/>
      <c r="AG2232" s="52"/>
      <c r="AH2232" s="52"/>
      <c r="AM2232" s="52"/>
      <c r="AN2232" s="52"/>
    </row>
    <row r="2233" spans="16:40" x14ac:dyDescent="0.2">
      <c r="P2233" s="52"/>
      <c r="Q2233" s="52"/>
      <c r="R2233" s="52"/>
      <c r="S2233" s="52"/>
      <c r="T2233" s="52"/>
      <c r="U2233" s="52"/>
      <c r="V2233" s="52"/>
      <c r="W2233" s="52"/>
      <c r="X2233" s="52"/>
      <c r="Y2233" s="52"/>
      <c r="Z2233" s="52"/>
      <c r="AA2233" s="52"/>
      <c r="AB2233" s="52"/>
      <c r="AC2233" s="52"/>
      <c r="AD2233" s="52"/>
      <c r="AE2233" s="52"/>
      <c r="AF2233" s="52"/>
      <c r="AG2233" s="52"/>
      <c r="AH2233" s="52"/>
      <c r="AM2233" s="52"/>
      <c r="AN2233" s="52"/>
    </row>
    <row r="2234" spans="16:40" x14ac:dyDescent="0.2">
      <c r="P2234" s="52"/>
      <c r="Q2234" s="52"/>
      <c r="R2234" s="52"/>
      <c r="S2234" s="52"/>
      <c r="T2234" s="52"/>
      <c r="U2234" s="52"/>
      <c r="V2234" s="52"/>
      <c r="W2234" s="52"/>
      <c r="X2234" s="52"/>
      <c r="Y2234" s="52"/>
      <c r="Z2234" s="52"/>
      <c r="AA2234" s="52"/>
      <c r="AB2234" s="52"/>
      <c r="AC2234" s="52"/>
      <c r="AD2234" s="52"/>
      <c r="AE2234" s="52"/>
      <c r="AF2234" s="52"/>
      <c r="AG2234" s="52"/>
      <c r="AH2234" s="52"/>
      <c r="AM2234" s="52"/>
      <c r="AN2234" s="52"/>
    </row>
    <row r="2235" spans="16:40" x14ac:dyDescent="0.2">
      <c r="P2235" s="52"/>
      <c r="Q2235" s="52"/>
      <c r="R2235" s="52"/>
      <c r="S2235" s="52"/>
      <c r="T2235" s="52"/>
      <c r="U2235" s="52"/>
      <c r="V2235" s="52"/>
      <c r="W2235" s="52"/>
      <c r="X2235" s="52"/>
      <c r="Y2235" s="52"/>
      <c r="Z2235" s="52"/>
      <c r="AA2235" s="52"/>
      <c r="AB2235" s="52"/>
      <c r="AC2235" s="52"/>
      <c r="AD2235" s="52"/>
      <c r="AE2235" s="52"/>
      <c r="AF2235" s="52"/>
      <c r="AG2235" s="52"/>
      <c r="AH2235" s="52"/>
      <c r="AM2235" s="52"/>
      <c r="AN2235" s="52"/>
    </row>
    <row r="2236" spans="16:40" x14ac:dyDescent="0.2">
      <c r="P2236" s="52"/>
      <c r="Q2236" s="52"/>
      <c r="R2236" s="52"/>
      <c r="S2236" s="52"/>
      <c r="T2236" s="52"/>
      <c r="U2236" s="52"/>
      <c r="V2236" s="52"/>
      <c r="W2236" s="52"/>
      <c r="X2236" s="52"/>
      <c r="Y2236" s="52"/>
      <c r="Z2236" s="52"/>
      <c r="AA2236" s="52"/>
      <c r="AB2236" s="52"/>
      <c r="AC2236" s="52"/>
      <c r="AD2236" s="52"/>
      <c r="AE2236" s="52"/>
      <c r="AF2236" s="52"/>
      <c r="AG2236" s="52"/>
      <c r="AH2236" s="52"/>
      <c r="AM2236" s="52"/>
      <c r="AN2236" s="52"/>
    </row>
    <row r="2237" spans="16:40" x14ac:dyDescent="0.2">
      <c r="P2237" s="52"/>
      <c r="Q2237" s="52"/>
      <c r="R2237" s="52"/>
      <c r="S2237" s="52"/>
      <c r="T2237" s="52"/>
      <c r="U2237" s="52"/>
      <c r="V2237" s="52"/>
      <c r="W2237" s="52"/>
      <c r="X2237" s="52"/>
      <c r="Y2237" s="52"/>
      <c r="Z2237" s="52"/>
      <c r="AA2237" s="52"/>
      <c r="AB2237" s="52"/>
      <c r="AC2237" s="52"/>
      <c r="AD2237" s="52"/>
      <c r="AE2237" s="52"/>
      <c r="AF2237" s="52"/>
      <c r="AG2237" s="52"/>
      <c r="AH2237" s="52"/>
      <c r="AM2237" s="52"/>
      <c r="AN2237" s="52"/>
    </row>
    <row r="2238" spans="16:40" x14ac:dyDescent="0.2">
      <c r="P2238" s="52"/>
      <c r="Q2238" s="52"/>
      <c r="R2238" s="52"/>
      <c r="S2238" s="52"/>
      <c r="T2238" s="52"/>
      <c r="U2238" s="52"/>
      <c r="V2238" s="52"/>
      <c r="W2238" s="52"/>
      <c r="X2238" s="52"/>
      <c r="Y2238" s="52"/>
      <c r="Z2238" s="52"/>
      <c r="AA2238" s="52"/>
      <c r="AB2238" s="52"/>
      <c r="AC2238" s="52"/>
      <c r="AD2238" s="52"/>
      <c r="AE2238" s="52"/>
      <c r="AF2238" s="52"/>
      <c r="AG2238" s="52"/>
      <c r="AH2238" s="52"/>
      <c r="AM2238" s="52"/>
      <c r="AN2238" s="52"/>
    </row>
    <row r="2239" spans="16:40" x14ac:dyDescent="0.2">
      <c r="P2239" s="52"/>
      <c r="Q2239" s="52"/>
      <c r="R2239" s="52"/>
      <c r="S2239" s="52"/>
      <c r="T2239" s="52"/>
      <c r="U2239" s="52"/>
      <c r="V2239" s="52"/>
      <c r="W2239" s="52"/>
      <c r="X2239" s="52"/>
      <c r="Y2239" s="52"/>
      <c r="Z2239" s="52"/>
      <c r="AA2239" s="52"/>
      <c r="AB2239" s="52"/>
      <c r="AC2239" s="52"/>
      <c r="AD2239" s="52"/>
      <c r="AE2239" s="52"/>
      <c r="AF2239" s="52"/>
      <c r="AG2239" s="52"/>
      <c r="AH2239" s="52"/>
      <c r="AM2239" s="52"/>
      <c r="AN2239" s="52"/>
    </row>
    <row r="2240" spans="16:40" x14ac:dyDescent="0.2">
      <c r="P2240" s="52"/>
      <c r="Q2240" s="52"/>
      <c r="R2240" s="52"/>
      <c r="S2240" s="52"/>
      <c r="T2240" s="52"/>
      <c r="U2240" s="52"/>
      <c r="V2240" s="52"/>
      <c r="W2240" s="52"/>
      <c r="X2240" s="52"/>
      <c r="Y2240" s="52"/>
      <c r="Z2240" s="52"/>
      <c r="AA2240" s="52"/>
      <c r="AB2240" s="52"/>
      <c r="AC2240" s="52"/>
      <c r="AD2240" s="52"/>
      <c r="AE2240" s="52"/>
      <c r="AF2240" s="52"/>
      <c r="AG2240" s="52"/>
      <c r="AH2240" s="52"/>
      <c r="AM2240" s="52"/>
      <c r="AN2240" s="52"/>
    </row>
    <row r="2241" spans="16:40" x14ac:dyDescent="0.2">
      <c r="P2241" s="52"/>
      <c r="Q2241" s="52"/>
      <c r="R2241" s="52"/>
      <c r="S2241" s="52"/>
      <c r="T2241" s="52"/>
      <c r="U2241" s="52"/>
      <c r="V2241" s="52"/>
      <c r="W2241" s="52"/>
      <c r="X2241" s="52"/>
      <c r="Y2241" s="52"/>
      <c r="Z2241" s="52"/>
      <c r="AA2241" s="52"/>
      <c r="AB2241" s="52"/>
      <c r="AC2241" s="52"/>
      <c r="AD2241" s="52"/>
      <c r="AE2241" s="52"/>
      <c r="AF2241" s="52"/>
      <c r="AG2241" s="52"/>
      <c r="AH2241" s="52"/>
      <c r="AM2241" s="52"/>
      <c r="AN2241" s="52"/>
    </row>
    <row r="2242" spans="16:40" x14ac:dyDescent="0.2">
      <c r="P2242" s="52"/>
      <c r="Q2242" s="52"/>
      <c r="R2242" s="52"/>
      <c r="S2242" s="52"/>
      <c r="T2242" s="52"/>
      <c r="U2242" s="52"/>
      <c r="V2242" s="52"/>
      <c r="W2242" s="52"/>
      <c r="X2242" s="52"/>
      <c r="Y2242" s="52"/>
      <c r="Z2242" s="52"/>
      <c r="AA2242" s="52"/>
      <c r="AB2242" s="52"/>
      <c r="AC2242" s="52"/>
      <c r="AD2242" s="52"/>
      <c r="AE2242" s="52"/>
      <c r="AF2242" s="52"/>
      <c r="AG2242" s="52"/>
      <c r="AH2242" s="52"/>
      <c r="AM2242" s="52"/>
      <c r="AN2242" s="52"/>
    </row>
    <row r="2243" spans="16:40" x14ac:dyDescent="0.2">
      <c r="P2243" s="52"/>
      <c r="Q2243" s="52"/>
      <c r="R2243" s="52"/>
      <c r="S2243" s="52"/>
      <c r="T2243" s="52"/>
      <c r="U2243" s="52"/>
      <c r="V2243" s="52"/>
      <c r="W2243" s="52"/>
      <c r="X2243" s="52"/>
      <c r="Y2243" s="52"/>
      <c r="Z2243" s="52"/>
      <c r="AA2243" s="52"/>
      <c r="AB2243" s="52"/>
      <c r="AC2243" s="52"/>
      <c r="AD2243" s="52"/>
      <c r="AE2243" s="52"/>
      <c r="AF2243" s="52"/>
      <c r="AG2243" s="52"/>
      <c r="AH2243" s="52"/>
      <c r="AM2243" s="52"/>
      <c r="AN2243" s="52"/>
    </row>
    <row r="2244" spans="16:40" x14ac:dyDescent="0.2">
      <c r="P2244" s="52"/>
      <c r="Q2244" s="52"/>
      <c r="R2244" s="52"/>
      <c r="S2244" s="52"/>
      <c r="T2244" s="52"/>
      <c r="U2244" s="52"/>
      <c r="V2244" s="52"/>
      <c r="W2244" s="52"/>
      <c r="X2244" s="52"/>
      <c r="Y2244" s="52"/>
      <c r="Z2244" s="52"/>
      <c r="AA2244" s="52"/>
      <c r="AB2244" s="52"/>
      <c r="AC2244" s="52"/>
      <c r="AD2244" s="52"/>
      <c r="AE2244" s="52"/>
      <c r="AF2244" s="52"/>
      <c r="AG2244" s="52"/>
      <c r="AH2244" s="52"/>
      <c r="AM2244" s="52"/>
      <c r="AN2244" s="52"/>
    </row>
    <row r="2245" spans="16:40" x14ac:dyDescent="0.2">
      <c r="P2245" s="52"/>
      <c r="Q2245" s="52"/>
      <c r="R2245" s="52"/>
      <c r="S2245" s="52"/>
      <c r="T2245" s="52"/>
      <c r="U2245" s="52"/>
      <c r="V2245" s="52"/>
      <c r="W2245" s="52"/>
      <c r="X2245" s="52"/>
      <c r="Y2245" s="52"/>
      <c r="Z2245" s="52"/>
      <c r="AA2245" s="52"/>
      <c r="AB2245" s="52"/>
      <c r="AC2245" s="52"/>
      <c r="AD2245" s="52"/>
      <c r="AE2245" s="52"/>
      <c r="AF2245" s="52"/>
      <c r="AG2245" s="52"/>
      <c r="AH2245" s="52"/>
      <c r="AM2245" s="52"/>
      <c r="AN2245" s="52"/>
    </row>
    <row r="2246" spans="16:40" x14ac:dyDescent="0.2">
      <c r="P2246" s="52"/>
      <c r="Q2246" s="52"/>
      <c r="R2246" s="52"/>
      <c r="S2246" s="52"/>
      <c r="T2246" s="52"/>
      <c r="U2246" s="52"/>
      <c r="V2246" s="52"/>
      <c r="W2246" s="52"/>
      <c r="X2246" s="52"/>
      <c r="Y2246" s="52"/>
      <c r="Z2246" s="52"/>
      <c r="AA2246" s="52"/>
      <c r="AB2246" s="52"/>
      <c r="AC2246" s="52"/>
      <c r="AD2246" s="52"/>
      <c r="AE2246" s="52"/>
      <c r="AF2246" s="52"/>
      <c r="AG2246" s="52"/>
      <c r="AH2246" s="52"/>
      <c r="AM2246" s="52"/>
      <c r="AN2246" s="52"/>
    </row>
    <row r="2247" spans="16:40" x14ac:dyDescent="0.2">
      <c r="P2247" s="52"/>
      <c r="Q2247" s="52"/>
      <c r="R2247" s="52"/>
      <c r="S2247" s="52"/>
      <c r="T2247" s="52"/>
      <c r="U2247" s="52"/>
      <c r="V2247" s="52"/>
      <c r="W2247" s="52"/>
      <c r="X2247" s="52"/>
      <c r="Y2247" s="52"/>
      <c r="Z2247" s="52"/>
      <c r="AA2247" s="52"/>
      <c r="AB2247" s="52"/>
      <c r="AC2247" s="52"/>
      <c r="AD2247" s="52"/>
      <c r="AE2247" s="52"/>
      <c r="AF2247" s="52"/>
      <c r="AG2247" s="52"/>
      <c r="AH2247" s="52"/>
      <c r="AM2247" s="52"/>
      <c r="AN2247" s="52"/>
    </row>
    <row r="2248" spans="16:40" x14ac:dyDescent="0.2">
      <c r="P2248" s="52"/>
      <c r="Q2248" s="52"/>
      <c r="R2248" s="52"/>
      <c r="S2248" s="52"/>
      <c r="T2248" s="52"/>
      <c r="U2248" s="52"/>
      <c r="V2248" s="52"/>
      <c r="W2248" s="52"/>
      <c r="X2248" s="52"/>
      <c r="Y2248" s="52"/>
      <c r="Z2248" s="52"/>
      <c r="AA2248" s="52"/>
      <c r="AB2248" s="52"/>
      <c r="AC2248" s="52"/>
      <c r="AD2248" s="52"/>
      <c r="AE2248" s="52"/>
      <c r="AF2248" s="52"/>
      <c r="AG2248" s="52"/>
      <c r="AH2248" s="52"/>
      <c r="AM2248" s="52"/>
      <c r="AN2248" s="52"/>
    </row>
    <row r="2249" spans="16:40" x14ac:dyDescent="0.2">
      <c r="P2249" s="52"/>
      <c r="Q2249" s="52"/>
      <c r="R2249" s="52"/>
      <c r="S2249" s="52"/>
      <c r="T2249" s="52"/>
      <c r="U2249" s="52"/>
      <c r="V2249" s="52"/>
      <c r="W2249" s="52"/>
      <c r="X2249" s="52"/>
      <c r="Y2249" s="52"/>
      <c r="Z2249" s="52"/>
      <c r="AA2249" s="52"/>
      <c r="AB2249" s="52"/>
      <c r="AC2249" s="52"/>
      <c r="AD2249" s="52"/>
      <c r="AE2249" s="52"/>
      <c r="AF2249" s="52"/>
      <c r="AG2249" s="52"/>
      <c r="AH2249" s="52"/>
      <c r="AM2249" s="52"/>
      <c r="AN2249" s="52"/>
    </row>
    <row r="2250" spans="16:40" x14ac:dyDescent="0.2">
      <c r="P2250" s="52"/>
      <c r="Q2250" s="52"/>
      <c r="R2250" s="52"/>
      <c r="S2250" s="52"/>
      <c r="T2250" s="52"/>
      <c r="U2250" s="52"/>
      <c r="V2250" s="52"/>
      <c r="W2250" s="52"/>
      <c r="X2250" s="52"/>
      <c r="Y2250" s="52"/>
      <c r="Z2250" s="52"/>
      <c r="AA2250" s="52"/>
      <c r="AB2250" s="52"/>
      <c r="AC2250" s="52"/>
      <c r="AD2250" s="52"/>
      <c r="AE2250" s="52"/>
      <c r="AF2250" s="52"/>
      <c r="AG2250" s="52"/>
      <c r="AH2250" s="52"/>
      <c r="AM2250" s="52"/>
      <c r="AN2250" s="52"/>
    </row>
    <row r="2251" spans="16:40" x14ac:dyDescent="0.2">
      <c r="P2251" s="52"/>
      <c r="Q2251" s="52"/>
      <c r="R2251" s="52"/>
      <c r="S2251" s="52"/>
      <c r="T2251" s="52"/>
      <c r="U2251" s="52"/>
      <c r="V2251" s="52"/>
      <c r="W2251" s="52"/>
      <c r="X2251" s="52"/>
      <c r="Y2251" s="52"/>
      <c r="Z2251" s="52"/>
      <c r="AA2251" s="52"/>
      <c r="AB2251" s="52"/>
      <c r="AC2251" s="52"/>
      <c r="AD2251" s="52"/>
      <c r="AE2251" s="52"/>
      <c r="AF2251" s="52"/>
      <c r="AG2251" s="52"/>
      <c r="AH2251" s="52"/>
      <c r="AM2251" s="52"/>
      <c r="AN2251" s="52"/>
    </row>
    <row r="2252" spans="16:40" x14ac:dyDescent="0.2">
      <c r="P2252" s="52"/>
      <c r="Q2252" s="52"/>
      <c r="R2252" s="52"/>
      <c r="S2252" s="52"/>
      <c r="T2252" s="52"/>
      <c r="U2252" s="52"/>
      <c r="V2252" s="52"/>
      <c r="W2252" s="52"/>
      <c r="X2252" s="52"/>
      <c r="Y2252" s="52"/>
      <c r="Z2252" s="52"/>
      <c r="AA2252" s="52"/>
      <c r="AB2252" s="52"/>
      <c r="AC2252" s="52"/>
      <c r="AD2252" s="52"/>
      <c r="AE2252" s="52"/>
      <c r="AF2252" s="52"/>
      <c r="AG2252" s="52"/>
      <c r="AH2252" s="52"/>
      <c r="AM2252" s="52"/>
      <c r="AN2252" s="52"/>
    </row>
    <row r="2253" spans="16:40" x14ac:dyDescent="0.2">
      <c r="P2253" s="52"/>
      <c r="Q2253" s="52"/>
      <c r="R2253" s="52"/>
      <c r="S2253" s="52"/>
      <c r="T2253" s="52"/>
      <c r="U2253" s="52"/>
      <c r="V2253" s="52"/>
      <c r="W2253" s="52"/>
      <c r="X2253" s="52"/>
      <c r="Y2253" s="52"/>
      <c r="Z2253" s="52"/>
      <c r="AA2253" s="52"/>
      <c r="AB2253" s="52"/>
      <c r="AC2253" s="52"/>
      <c r="AD2253" s="52"/>
      <c r="AE2253" s="52"/>
      <c r="AF2253" s="52"/>
      <c r="AG2253" s="52"/>
      <c r="AH2253" s="52"/>
      <c r="AM2253" s="52"/>
      <c r="AN2253" s="52"/>
    </row>
    <row r="2254" spans="16:40" x14ac:dyDescent="0.2">
      <c r="P2254" s="52"/>
      <c r="Q2254" s="52"/>
      <c r="R2254" s="52"/>
      <c r="S2254" s="52"/>
      <c r="T2254" s="52"/>
      <c r="U2254" s="52"/>
      <c r="V2254" s="52"/>
      <c r="W2254" s="52"/>
      <c r="X2254" s="52"/>
      <c r="Y2254" s="52"/>
      <c r="Z2254" s="52"/>
      <c r="AA2254" s="52"/>
      <c r="AB2254" s="52"/>
      <c r="AC2254" s="52"/>
      <c r="AD2254" s="52"/>
      <c r="AE2254" s="52"/>
      <c r="AF2254" s="52"/>
      <c r="AG2254" s="52"/>
      <c r="AH2254" s="52"/>
      <c r="AM2254" s="52"/>
      <c r="AN2254" s="52"/>
    </row>
    <row r="2255" spans="16:40" x14ac:dyDescent="0.2">
      <c r="P2255" s="52"/>
      <c r="Q2255" s="52"/>
      <c r="R2255" s="52"/>
      <c r="S2255" s="52"/>
      <c r="T2255" s="52"/>
      <c r="U2255" s="52"/>
      <c r="V2255" s="52"/>
      <c r="W2255" s="52"/>
      <c r="X2255" s="52"/>
      <c r="Y2255" s="52"/>
      <c r="Z2255" s="52"/>
      <c r="AA2255" s="52"/>
      <c r="AB2255" s="52"/>
      <c r="AC2255" s="52"/>
      <c r="AD2255" s="52"/>
      <c r="AE2255" s="52"/>
      <c r="AF2255" s="52"/>
      <c r="AG2255" s="52"/>
      <c r="AH2255" s="52"/>
      <c r="AM2255" s="52"/>
      <c r="AN2255" s="52"/>
    </row>
    <row r="2256" spans="16:40" x14ac:dyDescent="0.2">
      <c r="P2256" s="52"/>
      <c r="Q2256" s="52"/>
      <c r="R2256" s="52"/>
      <c r="S2256" s="52"/>
      <c r="T2256" s="52"/>
      <c r="U2256" s="52"/>
      <c r="V2256" s="52"/>
      <c r="W2256" s="52"/>
      <c r="X2256" s="52"/>
      <c r="Y2256" s="52"/>
      <c r="Z2256" s="52"/>
      <c r="AA2256" s="52"/>
      <c r="AB2256" s="52"/>
      <c r="AC2256" s="52"/>
      <c r="AD2256" s="52"/>
      <c r="AE2256" s="52"/>
      <c r="AF2256" s="52"/>
      <c r="AG2256" s="52"/>
      <c r="AH2256" s="52"/>
      <c r="AM2256" s="52"/>
      <c r="AN2256" s="52"/>
    </row>
    <row r="2257" spans="16:40" x14ac:dyDescent="0.2">
      <c r="P2257" s="52"/>
      <c r="Q2257" s="52"/>
      <c r="R2257" s="52"/>
      <c r="S2257" s="52"/>
      <c r="T2257" s="52"/>
      <c r="U2257" s="52"/>
      <c r="V2257" s="52"/>
      <c r="W2257" s="52"/>
      <c r="X2257" s="52"/>
      <c r="Y2257" s="52"/>
      <c r="Z2257" s="52"/>
      <c r="AA2257" s="52"/>
      <c r="AB2257" s="52"/>
      <c r="AC2257" s="52"/>
      <c r="AD2257" s="52"/>
      <c r="AE2257" s="52"/>
      <c r="AF2257" s="52"/>
      <c r="AG2257" s="52"/>
      <c r="AH2257" s="52"/>
      <c r="AM2257" s="52"/>
      <c r="AN2257" s="52"/>
    </row>
    <row r="2258" spans="16:40" x14ac:dyDescent="0.2">
      <c r="P2258" s="52"/>
      <c r="Q2258" s="52"/>
      <c r="R2258" s="52"/>
      <c r="S2258" s="52"/>
      <c r="T2258" s="52"/>
      <c r="U2258" s="52"/>
      <c r="V2258" s="52"/>
      <c r="W2258" s="52"/>
      <c r="X2258" s="52"/>
      <c r="Y2258" s="52"/>
      <c r="Z2258" s="52"/>
      <c r="AA2258" s="52"/>
      <c r="AB2258" s="52"/>
      <c r="AC2258" s="52"/>
      <c r="AD2258" s="52"/>
      <c r="AE2258" s="52"/>
      <c r="AF2258" s="52"/>
      <c r="AG2258" s="52"/>
      <c r="AH2258" s="52"/>
      <c r="AM2258" s="52"/>
      <c r="AN2258" s="52"/>
    </row>
    <row r="2259" spans="16:40" x14ac:dyDescent="0.2">
      <c r="P2259" s="52"/>
      <c r="Q2259" s="52"/>
      <c r="R2259" s="52"/>
      <c r="S2259" s="52"/>
      <c r="T2259" s="52"/>
      <c r="U2259" s="52"/>
      <c r="V2259" s="52"/>
      <c r="W2259" s="52"/>
      <c r="X2259" s="52"/>
      <c r="Y2259" s="52"/>
      <c r="Z2259" s="52"/>
      <c r="AA2259" s="52"/>
      <c r="AB2259" s="52"/>
      <c r="AC2259" s="52"/>
      <c r="AD2259" s="52"/>
      <c r="AE2259" s="52"/>
      <c r="AF2259" s="52"/>
      <c r="AG2259" s="52"/>
      <c r="AH2259" s="52"/>
      <c r="AM2259" s="52"/>
      <c r="AN2259" s="52"/>
    </row>
    <row r="2260" spans="16:40" x14ac:dyDescent="0.2">
      <c r="P2260" s="52"/>
      <c r="Q2260" s="52"/>
      <c r="R2260" s="52"/>
      <c r="S2260" s="52"/>
      <c r="T2260" s="52"/>
      <c r="U2260" s="52"/>
      <c r="V2260" s="52"/>
      <c r="W2260" s="52"/>
      <c r="X2260" s="52"/>
      <c r="Y2260" s="52"/>
      <c r="Z2260" s="52"/>
      <c r="AA2260" s="52"/>
      <c r="AB2260" s="52"/>
      <c r="AC2260" s="52"/>
      <c r="AD2260" s="52"/>
      <c r="AE2260" s="52"/>
      <c r="AF2260" s="52"/>
      <c r="AG2260" s="52"/>
      <c r="AH2260" s="52"/>
      <c r="AM2260" s="52"/>
      <c r="AN2260" s="52"/>
    </row>
    <row r="2261" spans="16:40" x14ac:dyDescent="0.2">
      <c r="P2261" s="52"/>
      <c r="Q2261" s="52"/>
      <c r="R2261" s="52"/>
      <c r="S2261" s="52"/>
      <c r="T2261" s="52"/>
      <c r="U2261" s="52"/>
      <c r="V2261" s="52"/>
      <c r="W2261" s="52"/>
      <c r="X2261" s="52"/>
      <c r="Y2261" s="52"/>
      <c r="Z2261" s="52"/>
      <c r="AA2261" s="52"/>
      <c r="AB2261" s="52"/>
      <c r="AC2261" s="52"/>
      <c r="AD2261" s="52"/>
      <c r="AE2261" s="52"/>
      <c r="AF2261" s="52"/>
      <c r="AG2261" s="52"/>
      <c r="AH2261" s="52"/>
      <c r="AM2261" s="52"/>
      <c r="AN2261" s="52"/>
    </row>
    <row r="2262" spans="16:40" x14ac:dyDescent="0.2">
      <c r="P2262" s="52"/>
      <c r="Q2262" s="52"/>
      <c r="R2262" s="52"/>
      <c r="S2262" s="52"/>
      <c r="T2262" s="52"/>
      <c r="U2262" s="52"/>
      <c r="V2262" s="52"/>
      <c r="W2262" s="52"/>
      <c r="X2262" s="52"/>
      <c r="Y2262" s="52"/>
      <c r="Z2262" s="52"/>
      <c r="AA2262" s="52"/>
      <c r="AB2262" s="52"/>
      <c r="AC2262" s="52"/>
      <c r="AD2262" s="52"/>
      <c r="AE2262" s="52"/>
      <c r="AF2262" s="52"/>
      <c r="AG2262" s="52"/>
      <c r="AH2262" s="52"/>
      <c r="AM2262" s="52"/>
      <c r="AN2262" s="52"/>
    </row>
    <row r="2263" spans="16:40" x14ac:dyDescent="0.2">
      <c r="P2263" s="52"/>
      <c r="Q2263" s="52"/>
      <c r="R2263" s="52"/>
      <c r="S2263" s="52"/>
      <c r="T2263" s="52"/>
      <c r="U2263" s="52"/>
      <c r="V2263" s="52"/>
      <c r="W2263" s="52"/>
      <c r="X2263" s="52"/>
      <c r="Y2263" s="52"/>
      <c r="Z2263" s="52"/>
      <c r="AA2263" s="52"/>
      <c r="AB2263" s="52"/>
      <c r="AC2263" s="52"/>
      <c r="AD2263" s="52"/>
      <c r="AE2263" s="52"/>
      <c r="AF2263" s="52"/>
      <c r="AG2263" s="52"/>
      <c r="AH2263" s="52"/>
      <c r="AM2263" s="52"/>
      <c r="AN2263" s="52"/>
    </row>
    <row r="2264" spans="16:40" x14ac:dyDescent="0.2"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2"/>
      <c r="AA2264" s="52"/>
      <c r="AB2264" s="52"/>
      <c r="AC2264" s="52"/>
      <c r="AD2264" s="52"/>
      <c r="AE2264" s="52"/>
      <c r="AF2264" s="52"/>
      <c r="AG2264" s="52"/>
      <c r="AH2264" s="52"/>
      <c r="AM2264" s="52"/>
      <c r="AN2264" s="52"/>
    </row>
    <row r="2265" spans="16:40" x14ac:dyDescent="0.2">
      <c r="P2265" s="52"/>
      <c r="Q2265" s="52"/>
      <c r="R2265" s="52"/>
      <c r="S2265" s="52"/>
      <c r="T2265" s="52"/>
      <c r="U2265" s="52"/>
      <c r="V2265" s="52"/>
      <c r="W2265" s="52"/>
      <c r="X2265" s="52"/>
      <c r="Y2265" s="52"/>
      <c r="Z2265" s="52"/>
      <c r="AA2265" s="52"/>
      <c r="AB2265" s="52"/>
      <c r="AC2265" s="52"/>
      <c r="AD2265" s="52"/>
      <c r="AE2265" s="52"/>
      <c r="AF2265" s="52"/>
      <c r="AG2265" s="52"/>
      <c r="AH2265" s="52"/>
      <c r="AM2265" s="52"/>
      <c r="AN2265" s="52"/>
    </row>
    <row r="2266" spans="16:40" x14ac:dyDescent="0.2">
      <c r="P2266" s="52"/>
      <c r="Q2266" s="52"/>
      <c r="R2266" s="52"/>
      <c r="S2266" s="52"/>
      <c r="T2266" s="52"/>
      <c r="U2266" s="52"/>
      <c r="V2266" s="52"/>
      <c r="W2266" s="52"/>
      <c r="X2266" s="52"/>
      <c r="Y2266" s="52"/>
      <c r="Z2266" s="52"/>
      <c r="AA2266" s="52"/>
      <c r="AB2266" s="52"/>
      <c r="AC2266" s="52"/>
      <c r="AD2266" s="52"/>
      <c r="AE2266" s="52"/>
      <c r="AF2266" s="52"/>
      <c r="AG2266" s="52"/>
      <c r="AH2266" s="52"/>
      <c r="AM2266" s="52"/>
      <c r="AN2266" s="52"/>
    </row>
    <row r="2267" spans="16:40" x14ac:dyDescent="0.2">
      <c r="P2267" s="52"/>
      <c r="Q2267" s="52"/>
      <c r="R2267" s="52"/>
      <c r="S2267" s="52"/>
      <c r="T2267" s="52"/>
      <c r="U2267" s="52"/>
      <c r="V2267" s="52"/>
      <c r="W2267" s="52"/>
      <c r="X2267" s="52"/>
      <c r="Y2267" s="52"/>
      <c r="Z2267" s="52"/>
      <c r="AA2267" s="52"/>
      <c r="AB2267" s="52"/>
      <c r="AC2267" s="52"/>
      <c r="AD2267" s="52"/>
      <c r="AE2267" s="52"/>
      <c r="AF2267" s="52"/>
      <c r="AG2267" s="52"/>
      <c r="AH2267" s="52"/>
      <c r="AM2267" s="52"/>
      <c r="AN2267" s="52"/>
    </row>
    <row r="2268" spans="16:40" x14ac:dyDescent="0.2">
      <c r="P2268" s="52"/>
      <c r="Q2268" s="52"/>
      <c r="R2268" s="52"/>
      <c r="S2268" s="52"/>
      <c r="T2268" s="52"/>
      <c r="U2268" s="52"/>
      <c r="V2268" s="52"/>
      <c r="W2268" s="52"/>
      <c r="X2268" s="52"/>
      <c r="Y2268" s="52"/>
      <c r="Z2268" s="52"/>
      <c r="AA2268" s="52"/>
      <c r="AB2268" s="52"/>
      <c r="AC2268" s="52"/>
      <c r="AD2268" s="52"/>
      <c r="AE2268" s="52"/>
      <c r="AF2268" s="52"/>
      <c r="AG2268" s="52"/>
      <c r="AH2268" s="52"/>
      <c r="AM2268" s="52"/>
      <c r="AN2268" s="52"/>
    </row>
    <row r="2269" spans="16:40" x14ac:dyDescent="0.2">
      <c r="P2269" s="52"/>
      <c r="Q2269" s="52"/>
      <c r="R2269" s="52"/>
      <c r="S2269" s="52"/>
      <c r="T2269" s="52"/>
      <c r="U2269" s="52"/>
      <c r="V2269" s="52"/>
      <c r="W2269" s="52"/>
      <c r="X2269" s="52"/>
      <c r="Y2269" s="52"/>
      <c r="Z2269" s="52"/>
      <c r="AA2269" s="52"/>
      <c r="AB2269" s="52"/>
      <c r="AC2269" s="52"/>
      <c r="AD2269" s="52"/>
      <c r="AE2269" s="52"/>
      <c r="AF2269" s="52"/>
      <c r="AG2269" s="52"/>
      <c r="AH2269" s="52"/>
      <c r="AM2269" s="52"/>
      <c r="AN2269" s="52"/>
    </row>
    <row r="2270" spans="16:40" x14ac:dyDescent="0.2">
      <c r="P2270" s="52"/>
      <c r="Q2270" s="52"/>
      <c r="R2270" s="52"/>
      <c r="S2270" s="52"/>
      <c r="T2270" s="52"/>
      <c r="U2270" s="52"/>
      <c r="V2270" s="52"/>
      <c r="W2270" s="52"/>
      <c r="X2270" s="52"/>
      <c r="Y2270" s="52"/>
      <c r="Z2270" s="52"/>
      <c r="AA2270" s="52"/>
      <c r="AB2270" s="52"/>
      <c r="AC2270" s="52"/>
      <c r="AD2270" s="52"/>
      <c r="AE2270" s="52"/>
      <c r="AF2270" s="52"/>
      <c r="AG2270" s="52"/>
      <c r="AH2270" s="52"/>
      <c r="AM2270" s="52"/>
      <c r="AN2270" s="52"/>
    </row>
    <row r="2271" spans="16:40" x14ac:dyDescent="0.2">
      <c r="P2271" s="52"/>
      <c r="Q2271" s="52"/>
      <c r="R2271" s="52"/>
      <c r="S2271" s="52"/>
      <c r="T2271" s="52"/>
      <c r="U2271" s="52"/>
      <c r="V2271" s="52"/>
      <c r="W2271" s="52"/>
      <c r="X2271" s="52"/>
      <c r="Y2271" s="52"/>
      <c r="Z2271" s="52"/>
      <c r="AA2271" s="52"/>
      <c r="AB2271" s="52"/>
      <c r="AC2271" s="52"/>
      <c r="AD2271" s="52"/>
      <c r="AE2271" s="52"/>
      <c r="AF2271" s="52"/>
      <c r="AG2271" s="52"/>
      <c r="AH2271" s="52"/>
      <c r="AM2271" s="52"/>
      <c r="AN2271" s="52"/>
    </row>
    <row r="2272" spans="16:40" x14ac:dyDescent="0.2">
      <c r="P2272" s="52"/>
      <c r="Q2272" s="52"/>
      <c r="R2272" s="52"/>
      <c r="S2272" s="52"/>
      <c r="T2272" s="52"/>
      <c r="U2272" s="52"/>
      <c r="V2272" s="52"/>
      <c r="W2272" s="52"/>
      <c r="X2272" s="52"/>
      <c r="Y2272" s="52"/>
      <c r="Z2272" s="52"/>
      <c r="AA2272" s="52"/>
      <c r="AB2272" s="52"/>
      <c r="AC2272" s="52"/>
      <c r="AD2272" s="52"/>
      <c r="AE2272" s="52"/>
      <c r="AF2272" s="52"/>
      <c r="AG2272" s="52"/>
      <c r="AH2272" s="52"/>
      <c r="AM2272" s="52"/>
      <c r="AN2272" s="52"/>
    </row>
    <row r="2273" spans="16:40" x14ac:dyDescent="0.2">
      <c r="P2273" s="52"/>
      <c r="Q2273" s="52"/>
      <c r="R2273" s="52"/>
      <c r="S2273" s="52"/>
      <c r="T2273" s="52"/>
      <c r="U2273" s="52"/>
      <c r="V2273" s="52"/>
      <c r="W2273" s="52"/>
      <c r="X2273" s="52"/>
      <c r="Y2273" s="52"/>
      <c r="Z2273" s="52"/>
      <c r="AA2273" s="52"/>
      <c r="AB2273" s="52"/>
      <c r="AC2273" s="52"/>
      <c r="AD2273" s="52"/>
      <c r="AE2273" s="52"/>
      <c r="AF2273" s="52"/>
      <c r="AG2273" s="52"/>
      <c r="AH2273" s="52"/>
      <c r="AM2273" s="52"/>
      <c r="AN2273" s="52"/>
    </row>
    <row r="2274" spans="16:40" x14ac:dyDescent="0.2">
      <c r="P2274" s="52"/>
      <c r="Q2274" s="52"/>
      <c r="R2274" s="52"/>
      <c r="S2274" s="52"/>
      <c r="T2274" s="52"/>
      <c r="U2274" s="52"/>
      <c r="V2274" s="52"/>
      <c r="W2274" s="52"/>
      <c r="X2274" s="52"/>
      <c r="Y2274" s="52"/>
      <c r="Z2274" s="52"/>
      <c r="AA2274" s="52"/>
      <c r="AB2274" s="52"/>
      <c r="AC2274" s="52"/>
      <c r="AD2274" s="52"/>
      <c r="AE2274" s="52"/>
      <c r="AF2274" s="52"/>
      <c r="AG2274" s="52"/>
      <c r="AH2274" s="52"/>
      <c r="AM2274" s="52"/>
      <c r="AN2274" s="52"/>
    </row>
    <row r="2275" spans="16:40" x14ac:dyDescent="0.2">
      <c r="P2275" s="52"/>
      <c r="Q2275" s="52"/>
      <c r="R2275" s="52"/>
      <c r="S2275" s="52"/>
      <c r="T2275" s="52"/>
      <c r="U2275" s="52"/>
      <c r="V2275" s="52"/>
      <c r="W2275" s="52"/>
      <c r="X2275" s="52"/>
      <c r="Y2275" s="52"/>
      <c r="Z2275" s="52"/>
      <c r="AA2275" s="52"/>
      <c r="AB2275" s="52"/>
      <c r="AC2275" s="52"/>
      <c r="AD2275" s="52"/>
      <c r="AE2275" s="52"/>
      <c r="AF2275" s="52"/>
      <c r="AG2275" s="52"/>
      <c r="AH2275" s="52"/>
      <c r="AM2275" s="52"/>
      <c r="AN2275" s="52"/>
    </row>
    <row r="2276" spans="16:40" x14ac:dyDescent="0.2">
      <c r="P2276" s="52"/>
      <c r="Q2276" s="52"/>
      <c r="R2276" s="52"/>
      <c r="S2276" s="52"/>
      <c r="T2276" s="52"/>
      <c r="U2276" s="52"/>
      <c r="V2276" s="52"/>
      <c r="W2276" s="52"/>
      <c r="X2276" s="52"/>
      <c r="Y2276" s="52"/>
      <c r="Z2276" s="52"/>
      <c r="AA2276" s="52"/>
      <c r="AB2276" s="52"/>
      <c r="AC2276" s="52"/>
      <c r="AD2276" s="52"/>
      <c r="AE2276" s="52"/>
      <c r="AF2276" s="52"/>
      <c r="AG2276" s="52"/>
      <c r="AH2276" s="52"/>
      <c r="AM2276" s="52"/>
      <c r="AN2276" s="52"/>
    </row>
    <row r="2277" spans="16:40" x14ac:dyDescent="0.2">
      <c r="P2277" s="52"/>
      <c r="Q2277" s="52"/>
      <c r="R2277" s="52"/>
      <c r="S2277" s="52"/>
      <c r="T2277" s="52"/>
      <c r="U2277" s="52"/>
      <c r="V2277" s="52"/>
      <c r="W2277" s="52"/>
      <c r="X2277" s="52"/>
      <c r="Y2277" s="52"/>
      <c r="Z2277" s="52"/>
      <c r="AA2277" s="52"/>
      <c r="AB2277" s="52"/>
      <c r="AC2277" s="52"/>
      <c r="AD2277" s="52"/>
      <c r="AE2277" s="52"/>
      <c r="AF2277" s="52"/>
      <c r="AG2277" s="52"/>
      <c r="AH2277" s="52"/>
      <c r="AM2277" s="52"/>
      <c r="AN2277" s="52"/>
    </row>
    <row r="2278" spans="16:40" x14ac:dyDescent="0.2">
      <c r="P2278" s="52"/>
      <c r="Q2278" s="52"/>
      <c r="R2278" s="52"/>
      <c r="S2278" s="52"/>
      <c r="T2278" s="52"/>
      <c r="U2278" s="52"/>
      <c r="V2278" s="52"/>
      <c r="W2278" s="52"/>
      <c r="X2278" s="52"/>
      <c r="Y2278" s="52"/>
      <c r="Z2278" s="52"/>
      <c r="AA2278" s="52"/>
      <c r="AB2278" s="52"/>
      <c r="AC2278" s="52"/>
      <c r="AD2278" s="52"/>
      <c r="AE2278" s="52"/>
      <c r="AF2278" s="52"/>
      <c r="AG2278" s="52"/>
      <c r="AH2278" s="52"/>
      <c r="AM2278" s="52"/>
      <c r="AN2278" s="52"/>
    </row>
    <row r="2279" spans="16:40" x14ac:dyDescent="0.2">
      <c r="P2279" s="52"/>
      <c r="Q2279" s="52"/>
      <c r="R2279" s="52"/>
      <c r="S2279" s="52"/>
      <c r="T2279" s="52"/>
      <c r="U2279" s="52"/>
      <c r="V2279" s="52"/>
      <c r="W2279" s="52"/>
      <c r="X2279" s="52"/>
      <c r="Y2279" s="52"/>
      <c r="Z2279" s="52"/>
      <c r="AA2279" s="52"/>
      <c r="AB2279" s="52"/>
      <c r="AC2279" s="52"/>
      <c r="AD2279" s="52"/>
      <c r="AE2279" s="52"/>
      <c r="AF2279" s="52"/>
      <c r="AG2279" s="52"/>
      <c r="AH2279" s="52"/>
      <c r="AM2279" s="52"/>
      <c r="AN2279" s="52"/>
    </row>
    <row r="2280" spans="16:40" x14ac:dyDescent="0.2">
      <c r="P2280" s="52"/>
      <c r="Q2280" s="52"/>
      <c r="R2280" s="52"/>
      <c r="S2280" s="52"/>
      <c r="T2280" s="52"/>
      <c r="U2280" s="52"/>
      <c r="V2280" s="52"/>
      <c r="W2280" s="52"/>
      <c r="X2280" s="52"/>
      <c r="Y2280" s="52"/>
      <c r="Z2280" s="52"/>
      <c r="AA2280" s="52"/>
      <c r="AB2280" s="52"/>
      <c r="AC2280" s="52"/>
      <c r="AD2280" s="52"/>
      <c r="AE2280" s="52"/>
      <c r="AF2280" s="52"/>
      <c r="AG2280" s="52"/>
      <c r="AH2280" s="52"/>
      <c r="AM2280" s="52"/>
      <c r="AN2280" s="52"/>
    </row>
    <row r="2281" spans="16:40" x14ac:dyDescent="0.2">
      <c r="P2281" s="52"/>
      <c r="Q2281" s="52"/>
      <c r="R2281" s="52"/>
      <c r="S2281" s="52"/>
      <c r="T2281" s="52"/>
      <c r="U2281" s="52"/>
      <c r="V2281" s="52"/>
      <c r="W2281" s="52"/>
      <c r="X2281" s="52"/>
      <c r="Y2281" s="52"/>
      <c r="Z2281" s="52"/>
      <c r="AA2281" s="52"/>
      <c r="AB2281" s="52"/>
      <c r="AC2281" s="52"/>
      <c r="AD2281" s="52"/>
      <c r="AE2281" s="52"/>
      <c r="AF2281" s="52"/>
      <c r="AG2281" s="52"/>
      <c r="AH2281" s="52"/>
      <c r="AM2281" s="52"/>
      <c r="AN2281" s="52"/>
    </row>
    <row r="2282" spans="16:40" x14ac:dyDescent="0.2">
      <c r="P2282" s="52"/>
      <c r="Q2282" s="52"/>
      <c r="R2282" s="52"/>
      <c r="S2282" s="52"/>
      <c r="T2282" s="52"/>
      <c r="U2282" s="52"/>
      <c r="V2282" s="52"/>
      <c r="W2282" s="52"/>
      <c r="X2282" s="52"/>
      <c r="Y2282" s="52"/>
      <c r="Z2282" s="52"/>
      <c r="AA2282" s="52"/>
      <c r="AB2282" s="52"/>
      <c r="AC2282" s="52"/>
      <c r="AD2282" s="52"/>
      <c r="AE2282" s="52"/>
      <c r="AF2282" s="52"/>
      <c r="AG2282" s="52"/>
      <c r="AH2282" s="52"/>
      <c r="AM2282" s="52"/>
      <c r="AN2282" s="52"/>
    </row>
    <row r="2283" spans="16:40" x14ac:dyDescent="0.2">
      <c r="P2283" s="52"/>
      <c r="Q2283" s="52"/>
      <c r="R2283" s="52"/>
      <c r="S2283" s="52"/>
      <c r="T2283" s="52"/>
      <c r="U2283" s="52"/>
      <c r="V2283" s="52"/>
      <c r="W2283" s="52"/>
      <c r="X2283" s="52"/>
      <c r="Y2283" s="52"/>
      <c r="Z2283" s="52"/>
      <c r="AA2283" s="52"/>
      <c r="AB2283" s="52"/>
      <c r="AC2283" s="52"/>
      <c r="AD2283" s="52"/>
      <c r="AE2283" s="52"/>
      <c r="AF2283" s="52"/>
      <c r="AG2283" s="52"/>
      <c r="AH2283" s="52"/>
      <c r="AM2283" s="52"/>
      <c r="AN2283" s="52"/>
    </row>
    <row r="2284" spans="16:40" x14ac:dyDescent="0.2">
      <c r="P2284" s="52"/>
      <c r="Q2284" s="52"/>
      <c r="R2284" s="52"/>
      <c r="S2284" s="52"/>
      <c r="T2284" s="52"/>
      <c r="U2284" s="52"/>
      <c r="V2284" s="52"/>
      <c r="W2284" s="52"/>
      <c r="X2284" s="52"/>
      <c r="Y2284" s="52"/>
      <c r="Z2284" s="52"/>
      <c r="AA2284" s="52"/>
      <c r="AB2284" s="52"/>
      <c r="AC2284" s="52"/>
      <c r="AD2284" s="52"/>
      <c r="AE2284" s="52"/>
      <c r="AF2284" s="52"/>
      <c r="AG2284" s="52"/>
      <c r="AH2284" s="52"/>
      <c r="AM2284" s="52"/>
      <c r="AN2284" s="52"/>
    </row>
    <row r="2285" spans="16:40" x14ac:dyDescent="0.2">
      <c r="P2285" s="52"/>
      <c r="Q2285" s="52"/>
      <c r="R2285" s="52"/>
      <c r="S2285" s="52"/>
      <c r="T2285" s="52"/>
      <c r="U2285" s="52"/>
      <c r="V2285" s="52"/>
      <c r="W2285" s="52"/>
      <c r="X2285" s="52"/>
      <c r="Y2285" s="52"/>
      <c r="Z2285" s="52"/>
      <c r="AA2285" s="52"/>
      <c r="AB2285" s="52"/>
      <c r="AC2285" s="52"/>
      <c r="AD2285" s="52"/>
      <c r="AE2285" s="52"/>
      <c r="AF2285" s="52"/>
      <c r="AG2285" s="52"/>
      <c r="AH2285" s="52"/>
      <c r="AM2285" s="52"/>
      <c r="AN2285" s="52"/>
    </row>
    <row r="2286" spans="16:40" x14ac:dyDescent="0.2">
      <c r="P2286" s="52"/>
      <c r="Q2286" s="52"/>
      <c r="R2286" s="52"/>
      <c r="S2286" s="52"/>
      <c r="T2286" s="52"/>
      <c r="U2286" s="52"/>
      <c r="V2286" s="52"/>
      <c r="W2286" s="52"/>
      <c r="X2286" s="52"/>
      <c r="Y2286" s="52"/>
      <c r="Z2286" s="52"/>
      <c r="AA2286" s="52"/>
      <c r="AB2286" s="52"/>
      <c r="AC2286" s="52"/>
      <c r="AD2286" s="52"/>
      <c r="AE2286" s="52"/>
      <c r="AF2286" s="52"/>
      <c r="AG2286" s="52"/>
      <c r="AH2286" s="52"/>
      <c r="AM2286" s="52"/>
      <c r="AN2286" s="52"/>
    </row>
    <row r="2287" spans="16:40" x14ac:dyDescent="0.2">
      <c r="P2287" s="52"/>
      <c r="Q2287" s="52"/>
      <c r="R2287" s="52"/>
      <c r="S2287" s="52"/>
      <c r="T2287" s="52"/>
      <c r="U2287" s="52"/>
      <c r="V2287" s="52"/>
      <c r="W2287" s="52"/>
      <c r="X2287" s="52"/>
      <c r="Y2287" s="52"/>
      <c r="Z2287" s="52"/>
      <c r="AA2287" s="52"/>
      <c r="AB2287" s="52"/>
      <c r="AC2287" s="52"/>
      <c r="AD2287" s="52"/>
      <c r="AE2287" s="52"/>
      <c r="AF2287" s="52"/>
      <c r="AG2287" s="52"/>
      <c r="AH2287" s="52"/>
      <c r="AM2287" s="52"/>
      <c r="AN2287" s="52"/>
    </row>
    <row r="2288" spans="16:40" x14ac:dyDescent="0.2">
      <c r="P2288" s="52"/>
      <c r="Q2288" s="52"/>
      <c r="R2288" s="52"/>
      <c r="S2288" s="52"/>
      <c r="T2288" s="52"/>
      <c r="U2288" s="52"/>
      <c r="V2288" s="52"/>
      <c r="W2288" s="52"/>
      <c r="X2288" s="52"/>
      <c r="Y2288" s="52"/>
      <c r="Z2288" s="52"/>
      <c r="AA2288" s="52"/>
      <c r="AB2288" s="52"/>
      <c r="AC2288" s="52"/>
      <c r="AD2288" s="52"/>
      <c r="AE2288" s="52"/>
      <c r="AF2288" s="52"/>
      <c r="AG2288" s="52"/>
      <c r="AH2288" s="52"/>
      <c r="AM2288" s="52"/>
      <c r="AN2288" s="52"/>
    </row>
    <row r="2289" spans="16:40" x14ac:dyDescent="0.2">
      <c r="P2289" s="52"/>
      <c r="Q2289" s="52"/>
      <c r="R2289" s="52"/>
      <c r="S2289" s="52"/>
      <c r="T2289" s="52"/>
      <c r="U2289" s="52"/>
      <c r="V2289" s="52"/>
      <c r="W2289" s="52"/>
      <c r="X2289" s="52"/>
      <c r="Y2289" s="52"/>
      <c r="Z2289" s="52"/>
      <c r="AA2289" s="52"/>
      <c r="AB2289" s="52"/>
      <c r="AC2289" s="52"/>
      <c r="AD2289" s="52"/>
      <c r="AE2289" s="52"/>
      <c r="AF2289" s="52"/>
      <c r="AG2289" s="52"/>
      <c r="AH2289" s="52"/>
      <c r="AM2289" s="52"/>
      <c r="AN2289" s="52"/>
    </row>
    <row r="2290" spans="16:40" x14ac:dyDescent="0.2">
      <c r="P2290" s="52"/>
      <c r="Q2290" s="52"/>
      <c r="R2290" s="52"/>
      <c r="S2290" s="52"/>
      <c r="T2290" s="52"/>
      <c r="U2290" s="52"/>
      <c r="V2290" s="52"/>
      <c r="W2290" s="52"/>
      <c r="X2290" s="52"/>
      <c r="Y2290" s="52"/>
      <c r="Z2290" s="52"/>
      <c r="AA2290" s="52"/>
      <c r="AB2290" s="52"/>
      <c r="AC2290" s="52"/>
      <c r="AD2290" s="52"/>
      <c r="AE2290" s="52"/>
      <c r="AF2290" s="52"/>
      <c r="AG2290" s="52"/>
      <c r="AH2290" s="52"/>
      <c r="AM2290" s="52"/>
      <c r="AN2290" s="52"/>
    </row>
    <row r="2291" spans="16:40" x14ac:dyDescent="0.2">
      <c r="P2291" s="52"/>
      <c r="Q2291" s="52"/>
      <c r="R2291" s="52"/>
      <c r="S2291" s="52"/>
      <c r="T2291" s="52"/>
      <c r="U2291" s="52"/>
      <c r="V2291" s="52"/>
      <c r="W2291" s="52"/>
      <c r="X2291" s="52"/>
      <c r="Y2291" s="52"/>
      <c r="Z2291" s="52"/>
      <c r="AA2291" s="52"/>
      <c r="AB2291" s="52"/>
      <c r="AC2291" s="52"/>
      <c r="AD2291" s="52"/>
      <c r="AE2291" s="52"/>
      <c r="AF2291" s="52"/>
      <c r="AG2291" s="52"/>
      <c r="AH2291" s="52"/>
      <c r="AM2291" s="52"/>
      <c r="AN2291" s="52"/>
    </row>
    <row r="2292" spans="16:40" x14ac:dyDescent="0.2">
      <c r="P2292" s="52"/>
      <c r="Q2292" s="52"/>
      <c r="R2292" s="52"/>
      <c r="S2292" s="52"/>
      <c r="T2292" s="52"/>
      <c r="U2292" s="52"/>
      <c r="V2292" s="52"/>
      <c r="W2292" s="52"/>
      <c r="X2292" s="52"/>
      <c r="Y2292" s="52"/>
      <c r="Z2292" s="52"/>
      <c r="AA2292" s="52"/>
      <c r="AB2292" s="52"/>
      <c r="AC2292" s="52"/>
      <c r="AD2292" s="52"/>
      <c r="AE2292" s="52"/>
      <c r="AF2292" s="52"/>
      <c r="AG2292" s="52"/>
      <c r="AH2292" s="52"/>
      <c r="AM2292" s="52"/>
      <c r="AN2292" s="52"/>
    </row>
    <row r="2293" spans="16:40" x14ac:dyDescent="0.2">
      <c r="P2293" s="52"/>
      <c r="Q2293" s="52"/>
      <c r="R2293" s="52"/>
      <c r="S2293" s="52"/>
      <c r="T2293" s="52"/>
      <c r="U2293" s="52"/>
      <c r="V2293" s="52"/>
      <c r="W2293" s="52"/>
      <c r="X2293" s="52"/>
      <c r="Y2293" s="52"/>
      <c r="Z2293" s="52"/>
      <c r="AA2293" s="52"/>
      <c r="AB2293" s="52"/>
      <c r="AC2293" s="52"/>
      <c r="AD2293" s="52"/>
      <c r="AE2293" s="52"/>
      <c r="AF2293" s="52"/>
      <c r="AG2293" s="52"/>
      <c r="AH2293" s="52"/>
      <c r="AM2293" s="52"/>
      <c r="AN2293" s="52"/>
    </row>
    <row r="2294" spans="16:40" x14ac:dyDescent="0.2">
      <c r="P2294" s="52"/>
      <c r="Q2294" s="52"/>
      <c r="R2294" s="52"/>
      <c r="S2294" s="52"/>
      <c r="T2294" s="52"/>
      <c r="U2294" s="52"/>
      <c r="V2294" s="52"/>
      <c r="W2294" s="52"/>
      <c r="X2294" s="52"/>
      <c r="Y2294" s="52"/>
      <c r="Z2294" s="52"/>
      <c r="AA2294" s="52"/>
      <c r="AB2294" s="52"/>
      <c r="AC2294" s="52"/>
      <c r="AD2294" s="52"/>
      <c r="AE2294" s="52"/>
      <c r="AF2294" s="52"/>
      <c r="AG2294" s="52"/>
      <c r="AH2294" s="52"/>
      <c r="AM2294" s="52"/>
      <c r="AN2294" s="52"/>
    </row>
    <row r="2295" spans="16:40" x14ac:dyDescent="0.2">
      <c r="P2295" s="52"/>
      <c r="Q2295" s="52"/>
      <c r="R2295" s="52"/>
      <c r="S2295" s="52"/>
      <c r="T2295" s="52"/>
      <c r="U2295" s="52"/>
      <c r="V2295" s="52"/>
      <c r="W2295" s="52"/>
      <c r="X2295" s="52"/>
      <c r="Y2295" s="52"/>
      <c r="Z2295" s="52"/>
      <c r="AA2295" s="52"/>
      <c r="AB2295" s="52"/>
      <c r="AC2295" s="52"/>
      <c r="AD2295" s="52"/>
      <c r="AE2295" s="52"/>
      <c r="AF2295" s="52"/>
      <c r="AG2295" s="52"/>
      <c r="AH2295" s="52"/>
      <c r="AM2295" s="52"/>
      <c r="AN2295" s="52"/>
    </row>
    <row r="2296" spans="16:40" x14ac:dyDescent="0.2">
      <c r="P2296" s="52"/>
      <c r="Q2296" s="52"/>
      <c r="R2296" s="52"/>
      <c r="S2296" s="52"/>
      <c r="T2296" s="52"/>
      <c r="U2296" s="52"/>
      <c r="V2296" s="52"/>
      <c r="W2296" s="52"/>
      <c r="X2296" s="52"/>
      <c r="Y2296" s="52"/>
      <c r="Z2296" s="52"/>
      <c r="AA2296" s="52"/>
      <c r="AB2296" s="52"/>
      <c r="AC2296" s="52"/>
      <c r="AD2296" s="52"/>
      <c r="AE2296" s="52"/>
      <c r="AF2296" s="52"/>
      <c r="AG2296" s="52"/>
      <c r="AH2296" s="52"/>
      <c r="AM2296" s="52"/>
      <c r="AN2296" s="52"/>
    </row>
    <row r="2297" spans="16:40" x14ac:dyDescent="0.2">
      <c r="P2297" s="52"/>
      <c r="Q2297" s="52"/>
      <c r="R2297" s="52"/>
      <c r="S2297" s="52"/>
      <c r="T2297" s="52"/>
      <c r="U2297" s="52"/>
      <c r="V2297" s="52"/>
      <c r="W2297" s="52"/>
      <c r="X2297" s="52"/>
      <c r="Y2297" s="52"/>
      <c r="Z2297" s="52"/>
      <c r="AA2297" s="52"/>
      <c r="AB2297" s="52"/>
      <c r="AC2297" s="52"/>
      <c r="AD2297" s="52"/>
      <c r="AE2297" s="52"/>
      <c r="AF2297" s="52"/>
      <c r="AG2297" s="52"/>
      <c r="AH2297" s="52"/>
      <c r="AM2297" s="52"/>
      <c r="AN2297" s="52"/>
    </row>
    <row r="2298" spans="16:40" x14ac:dyDescent="0.2">
      <c r="P2298" s="52"/>
      <c r="Q2298" s="52"/>
      <c r="R2298" s="52"/>
      <c r="S2298" s="52"/>
      <c r="T2298" s="52"/>
      <c r="U2298" s="52"/>
      <c r="V2298" s="52"/>
      <c r="W2298" s="52"/>
      <c r="X2298" s="52"/>
      <c r="Y2298" s="52"/>
      <c r="Z2298" s="52"/>
      <c r="AA2298" s="52"/>
      <c r="AB2298" s="52"/>
      <c r="AC2298" s="52"/>
      <c r="AD2298" s="52"/>
      <c r="AE2298" s="52"/>
      <c r="AF2298" s="52"/>
      <c r="AG2298" s="52"/>
      <c r="AH2298" s="52"/>
      <c r="AM2298" s="52"/>
      <c r="AN2298" s="52"/>
    </row>
    <row r="2299" spans="16:40" x14ac:dyDescent="0.2">
      <c r="P2299" s="52"/>
      <c r="Q2299" s="52"/>
      <c r="R2299" s="52"/>
      <c r="S2299" s="52"/>
      <c r="T2299" s="52"/>
      <c r="U2299" s="52"/>
      <c r="V2299" s="52"/>
      <c r="W2299" s="52"/>
      <c r="X2299" s="52"/>
      <c r="Y2299" s="52"/>
      <c r="Z2299" s="52"/>
      <c r="AA2299" s="52"/>
      <c r="AB2299" s="52"/>
      <c r="AC2299" s="52"/>
      <c r="AD2299" s="52"/>
      <c r="AE2299" s="52"/>
      <c r="AF2299" s="52"/>
      <c r="AG2299" s="52"/>
      <c r="AH2299" s="52"/>
      <c r="AM2299" s="52"/>
      <c r="AN2299" s="52"/>
    </row>
    <row r="2300" spans="16:40" x14ac:dyDescent="0.2">
      <c r="P2300" s="52"/>
      <c r="Q2300" s="52"/>
      <c r="R2300" s="52"/>
      <c r="S2300" s="52"/>
      <c r="T2300" s="52"/>
      <c r="U2300" s="52"/>
      <c r="V2300" s="52"/>
      <c r="W2300" s="52"/>
      <c r="X2300" s="52"/>
      <c r="Y2300" s="52"/>
      <c r="Z2300" s="52"/>
      <c r="AA2300" s="52"/>
      <c r="AB2300" s="52"/>
      <c r="AC2300" s="52"/>
      <c r="AD2300" s="52"/>
      <c r="AE2300" s="52"/>
      <c r="AF2300" s="52"/>
      <c r="AG2300" s="52"/>
      <c r="AH2300" s="52"/>
      <c r="AM2300" s="52"/>
      <c r="AN2300" s="52"/>
    </row>
    <row r="2301" spans="16:40" x14ac:dyDescent="0.2">
      <c r="P2301" s="52"/>
      <c r="Q2301" s="52"/>
      <c r="R2301" s="52"/>
      <c r="S2301" s="52"/>
      <c r="T2301" s="52"/>
      <c r="U2301" s="52"/>
      <c r="V2301" s="52"/>
      <c r="W2301" s="52"/>
      <c r="X2301" s="52"/>
      <c r="Y2301" s="52"/>
      <c r="Z2301" s="52"/>
      <c r="AA2301" s="52"/>
      <c r="AB2301" s="52"/>
      <c r="AC2301" s="52"/>
      <c r="AD2301" s="52"/>
      <c r="AE2301" s="52"/>
      <c r="AF2301" s="52"/>
      <c r="AG2301" s="52"/>
      <c r="AH2301" s="52"/>
      <c r="AM2301" s="52"/>
      <c r="AN2301" s="52"/>
    </row>
    <row r="2302" spans="16:40" x14ac:dyDescent="0.2"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2"/>
      <c r="AA2302" s="52"/>
      <c r="AB2302" s="52"/>
      <c r="AC2302" s="52"/>
      <c r="AD2302" s="52"/>
      <c r="AE2302" s="52"/>
      <c r="AF2302" s="52"/>
      <c r="AG2302" s="52"/>
      <c r="AH2302" s="52"/>
      <c r="AM2302" s="52"/>
      <c r="AN2302" s="52"/>
    </row>
    <row r="2303" spans="16:40" x14ac:dyDescent="0.2">
      <c r="P2303" s="52"/>
      <c r="Q2303" s="52"/>
      <c r="R2303" s="52"/>
      <c r="S2303" s="52"/>
      <c r="T2303" s="52"/>
      <c r="U2303" s="52"/>
      <c r="V2303" s="52"/>
      <c r="W2303" s="52"/>
      <c r="X2303" s="52"/>
      <c r="Y2303" s="52"/>
      <c r="Z2303" s="52"/>
      <c r="AA2303" s="52"/>
      <c r="AB2303" s="52"/>
      <c r="AC2303" s="52"/>
      <c r="AD2303" s="52"/>
      <c r="AE2303" s="52"/>
      <c r="AF2303" s="52"/>
      <c r="AG2303" s="52"/>
      <c r="AH2303" s="52"/>
      <c r="AM2303" s="52"/>
      <c r="AN2303" s="52"/>
    </row>
    <row r="2304" spans="16:40" x14ac:dyDescent="0.2">
      <c r="P2304" s="52"/>
      <c r="Q2304" s="52"/>
      <c r="R2304" s="52"/>
      <c r="S2304" s="52"/>
      <c r="T2304" s="52"/>
      <c r="U2304" s="52"/>
      <c r="V2304" s="52"/>
      <c r="W2304" s="52"/>
      <c r="X2304" s="52"/>
      <c r="Y2304" s="52"/>
      <c r="Z2304" s="52"/>
      <c r="AA2304" s="52"/>
      <c r="AB2304" s="52"/>
      <c r="AC2304" s="52"/>
      <c r="AD2304" s="52"/>
      <c r="AE2304" s="52"/>
      <c r="AF2304" s="52"/>
      <c r="AG2304" s="52"/>
      <c r="AH2304" s="52"/>
      <c r="AM2304" s="52"/>
      <c r="AN2304" s="52"/>
    </row>
    <row r="2305" spans="16:40" x14ac:dyDescent="0.2">
      <c r="P2305" s="52"/>
      <c r="Q2305" s="52"/>
      <c r="R2305" s="52"/>
      <c r="S2305" s="52"/>
      <c r="T2305" s="52"/>
      <c r="U2305" s="52"/>
      <c r="V2305" s="52"/>
      <c r="W2305" s="52"/>
      <c r="X2305" s="52"/>
      <c r="Y2305" s="52"/>
      <c r="Z2305" s="52"/>
      <c r="AA2305" s="52"/>
      <c r="AB2305" s="52"/>
      <c r="AC2305" s="52"/>
      <c r="AD2305" s="52"/>
      <c r="AE2305" s="52"/>
      <c r="AF2305" s="52"/>
      <c r="AG2305" s="52"/>
      <c r="AH2305" s="52"/>
      <c r="AM2305" s="52"/>
      <c r="AN2305" s="52"/>
    </row>
    <row r="2306" spans="16:40" x14ac:dyDescent="0.2">
      <c r="P2306" s="52"/>
      <c r="Q2306" s="52"/>
      <c r="R2306" s="52"/>
      <c r="S2306" s="52"/>
      <c r="T2306" s="52"/>
      <c r="U2306" s="52"/>
      <c r="V2306" s="52"/>
      <c r="W2306" s="52"/>
      <c r="X2306" s="52"/>
      <c r="Y2306" s="52"/>
      <c r="Z2306" s="52"/>
      <c r="AA2306" s="52"/>
      <c r="AB2306" s="52"/>
      <c r="AC2306" s="52"/>
      <c r="AD2306" s="52"/>
      <c r="AE2306" s="52"/>
      <c r="AF2306" s="52"/>
      <c r="AG2306" s="52"/>
      <c r="AH2306" s="52"/>
      <c r="AM2306" s="52"/>
      <c r="AN2306" s="52"/>
    </row>
    <row r="2307" spans="16:40" x14ac:dyDescent="0.2">
      <c r="P2307" s="52"/>
      <c r="Q2307" s="52"/>
      <c r="R2307" s="52"/>
      <c r="S2307" s="52"/>
      <c r="T2307" s="52"/>
      <c r="U2307" s="52"/>
      <c r="V2307" s="52"/>
      <c r="W2307" s="52"/>
      <c r="X2307" s="52"/>
      <c r="Y2307" s="52"/>
      <c r="Z2307" s="52"/>
      <c r="AA2307" s="52"/>
      <c r="AB2307" s="52"/>
      <c r="AC2307" s="52"/>
      <c r="AD2307" s="52"/>
      <c r="AE2307" s="52"/>
      <c r="AF2307" s="52"/>
      <c r="AG2307" s="52"/>
      <c r="AH2307" s="52"/>
      <c r="AM2307" s="52"/>
      <c r="AN2307" s="52"/>
    </row>
    <row r="2308" spans="16:40" x14ac:dyDescent="0.2">
      <c r="P2308" s="52"/>
      <c r="Q2308" s="52"/>
      <c r="R2308" s="52"/>
      <c r="S2308" s="52"/>
      <c r="T2308" s="52"/>
      <c r="U2308" s="52"/>
      <c r="V2308" s="52"/>
      <c r="W2308" s="52"/>
      <c r="X2308" s="52"/>
      <c r="Y2308" s="52"/>
      <c r="Z2308" s="52"/>
      <c r="AA2308" s="52"/>
      <c r="AB2308" s="52"/>
      <c r="AC2308" s="52"/>
      <c r="AD2308" s="52"/>
      <c r="AE2308" s="52"/>
      <c r="AF2308" s="52"/>
      <c r="AG2308" s="52"/>
      <c r="AH2308" s="52"/>
      <c r="AM2308" s="52"/>
      <c r="AN2308" s="52"/>
    </row>
    <row r="2309" spans="16:40" x14ac:dyDescent="0.2">
      <c r="P2309" s="52"/>
      <c r="Q2309" s="52"/>
      <c r="R2309" s="52"/>
      <c r="S2309" s="52"/>
      <c r="T2309" s="52"/>
      <c r="U2309" s="52"/>
      <c r="V2309" s="52"/>
      <c r="W2309" s="52"/>
      <c r="X2309" s="52"/>
      <c r="Y2309" s="52"/>
      <c r="Z2309" s="52"/>
      <c r="AA2309" s="52"/>
      <c r="AB2309" s="52"/>
      <c r="AC2309" s="52"/>
      <c r="AD2309" s="52"/>
      <c r="AE2309" s="52"/>
      <c r="AF2309" s="52"/>
      <c r="AG2309" s="52"/>
      <c r="AH2309" s="52"/>
      <c r="AM2309" s="52"/>
      <c r="AN2309" s="52"/>
    </row>
    <row r="2310" spans="16:40" x14ac:dyDescent="0.2">
      <c r="P2310" s="52"/>
      <c r="Q2310" s="52"/>
      <c r="R2310" s="52"/>
      <c r="S2310" s="52"/>
      <c r="T2310" s="52"/>
      <c r="U2310" s="52"/>
      <c r="V2310" s="52"/>
      <c r="W2310" s="52"/>
      <c r="X2310" s="52"/>
      <c r="Y2310" s="52"/>
      <c r="Z2310" s="52"/>
      <c r="AA2310" s="52"/>
      <c r="AB2310" s="52"/>
      <c r="AC2310" s="52"/>
      <c r="AD2310" s="52"/>
      <c r="AE2310" s="52"/>
      <c r="AF2310" s="52"/>
      <c r="AG2310" s="52"/>
      <c r="AH2310" s="52"/>
      <c r="AM2310" s="52"/>
      <c r="AN2310" s="52"/>
    </row>
    <row r="2311" spans="16:40" x14ac:dyDescent="0.2">
      <c r="P2311" s="52"/>
      <c r="Q2311" s="52"/>
      <c r="R2311" s="52"/>
      <c r="S2311" s="52"/>
      <c r="T2311" s="52"/>
      <c r="U2311" s="52"/>
      <c r="V2311" s="52"/>
      <c r="W2311" s="52"/>
      <c r="X2311" s="52"/>
      <c r="Y2311" s="52"/>
      <c r="Z2311" s="52"/>
      <c r="AA2311" s="52"/>
      <c r="AB2311" s="52"/>
      <c r="AC2311" s="52"/>
      <c r="AD2311" s="52"/>
      <c r="AE2311" s="52"/>
      <c r="AF2311" s="52"/>
      <c r="AG2311" s="52"/>
      <c r="AH2311" s="52"/>
      <c r="AM2311" s="52"/>
      <c r="AN2311" s="52"/>
    </row>
    <row r="2312" spans="16:40" x14ac:dyDescent="0.2">
      <c r="P2312" s="52"/>
      <c r="Q2312" s="52"/>
      <c r="R2312" s="52"/>
      <c r="S2312" s="52"/>
      <c r="T2312" s="52"/>
      <c r="U2312" s="52"/>
      <c r="V2312" s="52"/>
      <c r="W2312" s="52"/>
      <c r="X2312" s="52"/>
      <c r="Y2312" s="52"/>
      <c r="Z2312" s="52"/>
      <c r="AA2312" s="52"/>
      <c r="AB2312" s="52"/>
      <c r="AC2312" s="52"/>
      <c r="AD2312" s="52"/>
      <c r="AE2312" s="52"/>
      <c r="AF2312" s="52"/>
      <c r="AG2312" s="52"/>
      <c r="AH2312" s="52"/>
      <c r="AM2312" s="52"/>
      <c r="AN2312" s="52"/>
    </row>
    <row r="2313" spans="16:40" x14ac:dyDescent="0.2">
      <c r="P2313" s="52"/>
      <c r="Q2313" s="52"/>
      <c r="R2313" s="52"/>
      <c r="S2313" s="52"/>
      <c r="T2313" s="52"/>
      <c r="U2313" s="52"/>
      <c r="V2313" s="52"/>
      <c r="W2313" s="52"/>
      <c r="X2313" s="52"/>
      <c r="Y2313" s="52"/>
      <c r="Z2313" s="52"/>
      <c r="AA2313" s="52"/>
      <c r="AB2313" s="52"/>
      <c r="AC2313" s="52"/>
      <c r="AD2313" s="52"/>
      <c r="AE2313" s="52"/>
      <c r="AF2313" s="52"/>
      <c r="AG2313" s="52"/>
      <c r="AH2313" s="52"/>
      <c r="AM2313" s="52"/>
      <c r="AN2313" s="52"/>
    </row>
    <row r="2314" spans="16:40" x14ac:dyDescent="0.2">
      <c r="P2314" s="52"/>
      <c r="Q2314" s="52"/>
      <c r="R2314" s="52"/>
      <c r="S2314" s="52"/>
      <c r="T2314" s="52"/>
      <c r="U2314" s="52"/>
      <c r="V2314" s="52"/>
      <c r="W2314" s="52"/>
      <c r="X2314" s="52"/>
      <c r="Y2314" s="52"/>
      <c r="Z2314" s="52"/>
      <c r="AA2314" s="52"/>
      <c r="AB2314" s="52"/>
      <c r="AC2314" s="52"/>
      <c r="AD2314" s="52"/>
      <c r="AE2314" s="52"/>
      <c r="AF2314" s="52"/>
      <c r="AG2314" s="52"/>
      <c r="AH2314" s="52"/>
      <c r="AM2314" s="52"/>
      <c r="AN2314" s="52"/>
    </row>
    <row r="2315" spans="16:40" x14ac:dyDescent="0.2">
      <c r="P2315" s="52"/>
      <c r="Q2315" s="52"/>
      <c r="R2315" s="52"/>
      <c r="S2315" s="52"/>
      <c r="T2315" s="52"/>
      <c r="U2315" s="52"/>
      <c r="V2315" s="52"/>
      <c r="W2315" s="52"/>
      <c r="X2315" s="52"/>
      <c r="Y2315" s="52"/>
      <c r="Z2315" s="52"/>
      <c r="AA2315" s="52"/>
      <c r="AB2315" s="52"/>
      <c r="AC2315" s="52"/>
      <c r="AD2315" s="52"/>
      <c r="AE2315" s="52"/>
      <c r="AF2315" s="52"/>
      <c r="AG2315" s="52"/>
      <c r="AH2315" s="52"/>
      <c r="AM2315" s="52"/>
      <c r="AN2315" s="52"/>
    </row>
    <row r="2316" spans="16:40" x14ac:dyDescent="0.2">
      <c r="P2316" s="52"/>
      <c r="Q2316" s="52"/>
      <c r="R2316" s="52"/>
      <c r="S2316" s="52"/>
      <c r="T2316" s="52"/>
      <c r="U2316" s="52"/>
      <c r="V2316" s="52"/>
      <c r="W2316" s="52"/>
      <c r="X2316" s="52"/>
      <c r="Y2316" s="52"/>
      <c r="Z2316" s="52"/>
      <c r="AA2316" s="52"/>
      <c r="AB2316" s="52"/>
      <c r="AC2316" s="52"/>
      <c r="AD2316" s="52"/>
      <c r="AE2316" s="52"/>
      <c r="AF2316" s="52"/>
      <c r="AG2316" s="52"/>
      <c r="AH2316" s="52"/>
      <c r="AM2316" s="52"/>
      <c r="AN2316" s="52"/>
    </row>
    <row r="2317" spans="16:40" x14ac:dyDescent="0.2">
      <c r="P2317" s="52"/>
      <c r="Q2317" s="52"/>
      <c r="R2317" s="52"/>
      <c r="S2317" s="52"/>
      <c r="T2317" s="52"/>
      <c r="U2317" s="52"/>
      <c r="V2317" s="52"/>
      <c r="W2317" s="52"/>
      <c r="X2317" s="52"/>
      <c r="Y2317" s="52"/>
      <c r="Z2317" s="52"/>
      <c r="AA2317" s="52"/>
      <c r="AB2317" s="52"/>
      <c r="AC2317" s="52"/>
      <c r="AD2317" s="52"/>
      <c r="AE2317" s="52"/>
      <c r="AF2317" s="52"/>
      <c r="AG2317" s="52"/>
      <c r="AH2317" s="52"/>
      <c r="AM2317" s="52"/>
      <c r="AN2317" s="52"/>
    </row>
    <row r="2318" spans="16:40" x14ac:dyDescent="0.2">
      <c r="P2318" s="52"/>
      <c r="Q2318" s="52"/>
      <c r="R2318" s="52"/>
      <c r="S2318" s="52"/>
      <c r="T2318" s="52"/>
      <c r="U2318" s="52"/>
      <c r="V2318" s="52"/>
      <c r="W2318" s="52"/>
      <c r="X2318" s="52"/>
      <c r="Y2318" s="52"/>
      <c r="Z2318" s="52"/>
      <c r="AA2318" s="52"/>
      <c r="AB2318" s="52"/>
      <c r="AC2318" s="52"/>
      <c r="AD2318" s="52"/>
      <c r="AE2318" s="52"/>
      <c r="AF2318" s="52"/>
      <c r="AG2318" s="52"/>
      <c r="AH2318" s="52"/>
      <c r="AM2318" s="52"/>
      <c r="AN2318" s="52"/>
    </row>
    <row r="2319" spans="16:40" x14ac:dyDescent="0.2">
      <c r="P2319" s="52"/>
      <c r="Q2319" s="52"/>
      <c r="R2319" s="52"/>
      <c r="S2319" s="52"/>
      <c r="T2319" s="52"/>
      <c r="U2319" s="52"/>
      <c r="V2319" s="52"/>
      <c r="W2319" s="52"/>
      <c r="X2319" s="52"/>
      <c r="Y2319" s="52"/>
      <c r="Z2319" s="52"/>
      <c r="AA2319" s="52"/>
      <c r="AB2319" s="52"/>
      <c r="AC2319" s="52"/>
      <c r="AD2319" s="52"/>
      <c r="AE2319" s="52"/>
      <c r="AF2319" s="52"/>
      <c r="AG2319" s="52"/>
      <c r="AH2319" s="52"/>
      <c r="AM2319" s="52"/>
      <c r="AN2319" s="52"/>
    </row>
    <row r="2320" spans="16:40" x14ac:dyDescent="0.2">
      <c r="P2320" s="52"/>
      <c r="Q2320" s="52"/>
      <c r="R2320" s="52"/>
      <c r="S2320" s="52"/>
      <c r="T2320" s="52"/>
      <c r="U2320" s="52"/>
      <c r="V2320" s="52"/>
      <c r="W2320" s="52"/>
      <c r="X2320" s="52"/>
      <c r="Y2320" s="52"/>
      <c r="Z2320" s="52"/>
      <c r="AA2320" s="52"/>
      <c r="AB2320" s="52"/>
      <c r="AC2320" s="52"/>
      <c r="AD2320" s="52"/>
      <c r="AE2320" s="52"/>
      <c r="AF2320" s="52"/>
      <c r="AG2320" s="52"/>
      <c r="AH2320" s="52"/>
      <c r="AM2320" s="52"/>
      <c r="AN2320" s="52"/>
    </row>
    <row r="2321" spans="16:40" x14ac:dyDescent="0.2">
      <c r="P2321" s="52"/>
      <c r="Q2321" s="52"/>
      <c r="R2321" s="52"/>
      <c r="S2321" s="52"/>
      <c r="T2321" s="52"/>
      <c r="U2321" s="52"/>
      <c r="V2321" s="52"/>
      <c r="W2321" s="52"/>
      <c r="X2321" s="52"/>
      <c r="Y2321" s="52"/>
      <c r="Z2321" s="52"/>
      <c r="AA2321" s="52"/>
      <c r="AB2321" s="52"/>
      <c r="AC2321" s="52"/>
      <c r="AD2321" s="52"/>
      <c r="AE2321" s="52"/>
      <c r="AF2321" s="52"/>
      <c r="AG2321" s="52"/>
      <c r="AH2321" s="52"/>
      <c r="AM2321" s="52"/>
      <c r="AN2321" s="52"/>
    </row>
    <row r="2322" spans="16:40" x14ac:dyDescent="0.2">
      <c r="P2322" s="52"/>
      <c r="Q2322" s="52"/>
      <c r="R2322" s="52"/>
      <c r="S2322" s="52"/>
      <c r="T2322" s="52"/>
      <c r="U2322" s="52"/>
      <c r="V2322" s="52"/>
      <c r="W2322" s="52"/>
      <c r="X2322" s="52"/>
      <c r="Y2322" s="52"/>
      <c r="Z2322" s="52"/>
      <c r="AA2322" s="52"/>
      <c r="AB2322" s="52"/>
      <c r="AC2322" s="52"/>
      <c r="AD2322" s="52"/>
      <c r="AE2322" s="52"/>
      <c r="AF2322" s="52"/>
      <c r="AG2322" s="52"/>
      <c r="AH2322" s="52"/>
      <c r="AM2322" s="52"/>
      <c r="AN2322" s="52"/>
    </row>
    <row r="2323" spans="16:40" x14ac:dyDescent="0.2">
      <c r="P2323" s="52"/>
      <c r="Q2323" s="52"/>
      <c r="R2323" s="52"/>
      <c r="S2323" s="52"/>
      <c r="T2323" s="52"/>
      <c r="U2323" s="52"/>
      <c r="V2323" s="52"/>
      <c r="W2323" s="52"/>
      <c r="X2323" s="52"/>
      <c r="Y2323" s="52"/>
      <c r="Z2323" s="52"/>
      <c r="AA2323" s="52"/>
      <c r="AB2323" s="52"/>
      <c r="AC2323" s="52"/>
      <c r="AD2323" s="52"/>
      <c r="AE2323" s="52"/>
      <c r="AF2323" s="52"/>
      <c r="AG2323" s="52"/>
      <c r="AH2323" s="52"/>
      <c r="AM2323" s="52"/>
      <c r="AN2323" s="52"/>
    </row>
    <row r="2324" spans="16:40" x14ac:dyDescent="0.2">
      <c r="P2324" s="52"/>
      <c r="Q2324" s="52"/>
      <c r="R2324" s="52"/>
      <c r="S2324" s="52"/>
      <c r="T2324" s="52"/>
      <c r="U2324" s="52"/>
      <c r="V2324" s="52"/>
      <c r="W2324" s="52"/>
      <c r="X2324" s="52"/>
      <c r="Y2324" s="52"/>
      <c r="Z2324" s="52"/>
      <c r="AA2324" s="52"/>
      <c r="AB2324" s="52"/>
      <c r="AC2324" s="52"/>
      <c r="AD2324" s="52"/>
      <c r="AE2324" s="52"/>
      <c r="AF2324" s="52"/>
      <c r="AG2324" s="52"/>
      <c r="AH2324" s="52"/>
      <c r="AM2324" s="52"/>
      <c r="AN2324" s="52"/>
    </row>
    <row r="2325" spans="16:40" x14ac:dyDescent="0.2">
      <c r="P2325" s="52"/>
      <c r="Q2325" s="52"/>
      <c r="R2325" s="52"/>
      <c r="S2325" s="52"/>
      <c r="T2325" s="52"/>
      <c r="U2325" s="52"/>
      <c r="V2325" s="52"/>
      <c r="W2325" s="52"/>
      <c r="X2325" s="52"/>
      <c r="Y2325" s="52"/>
      <c r="Z2325" s="52"/>
      <c r="AA2325" s="52"/>
      <c r="AB2325" s="52"/>
      <c r="AC2325" s="52"/>
      <c r="AD2325" s="52"/>
      <c r="AE2325" s="52"/>
      <c r="AF2325" s="52"/>
      <c r="AG2325" s="52"/>
      <c r="AH2325" s="52"/>
      <c r="AM2325" s="52"/>
      <c r="AN2325" s="52"/>
    </row>
    <row r="2326" spans="16:40" x14ac:dyDescent="0.2">
      <c r="P2326" s="52"/>
      <c r="Q2326" s="52"/>
      <c r="R2326" s="52"/>
      <c r="S2326" s="52"/>
      <c r="T2326" s="52"/>
      <c r="U2326" s="52"/>
      <c r="V2326" s="52"/>
      <c r="W2326" s="52"/>
      <c r="X2326" s="52"/>
      <c r="Y2326" s="52"/>
      <c r="Z2326" s="52"/>
      <c r="AA2326" s="52"/>
      <c r="AB2326" s="52"/>
      <c r="AC2326" s="52"/>
      <c r="AD2326" s="52"/>
      <c r="AE2326" s="52"/>
      <c r="AF2326" s="52"/>
      <c r="AG2326" s="52"/>
      <c r="AH2326" s="52"/>
      <c r="AM2326" s="52"/>
      <c r="AN2326" s="52"/>
    </row>
    <row r="2327" spans="16:40" x14ac:dyDescent="0.2">
      <c r="P2327" s="52"/>
      <c r="Q2327" s="52"/>
      <c r="R2327" s="52"/>
      <c r="S2327" s="52"/>
      <c r="T2327" s="52"/>
      <c r="U2327" s="52"/>
      <c r="V2327" s="52"/>
      <c r="W2327" s="52"/>
      <c r="X2327" s="52"/>
      <c r="Y2327" s="52"/>
      <c r="Z2327" s="52"/>
      <c r="AA2327" s="52"/>
      <c r="AB2327" s="52"/>
      <c r="AC2327" s="52"/>
      <c r="AD2327" s="52"/>
      <c r="AE2327" s="52"/>
      <c r="AF2327" s="52"/>
      <c r="AG2327" s="52"/>
      <c r="AH2327" s="52"/>
      <c r="AM2327" s="52"/>
      <c r="AN2327" s="52"/>
    </row>
    <row r="2328" spans="16:40" x14ac:dyDescent="0.2">
      <c r="P2328" s="52"/>
      <c r="Q2328" s="52"/>
      <c r="R2328" s="52"/>
      <c r="S2328" s="52"/>
      <c r="T2328" s="52"/>
      <c r="U2328" s="52"/>
      <c r="V2328" s="52"/>
      <c r="W2328" s="52"/>
      <c r="X2328" s="52"/>
      <c r="Y2328" s="52"/>
      <c r="Z2328" s="52"/>
      <c r="AA2328" s="52"/>
      <c r="AB2328" s="52"/>
      <c r="AC2328" s="52"/>
      <c r="AD2328" s="52"/>
      <c r="AE2328" s="52"/>
      <c r="AF2328" s="52"/>
      <c r="AG2328" s="52"/>
      <c r="AH2328" s="52"/>
      <c r="AM2328" s="52"/>
      <c r="AN2328" s="52"/>
    </row>
    <row r="2329" spans="16:40" x14ac:dyDescent="0.2">
      <c r="P2329" s="52"/>
      <c r="Q2329" s="52"/>
      <c r="R2329" s="52"/>
      <c r="S2329" s="52"/>
      <c r="T2329" s="52"/>
      <c r="U2329" s="52"/>
      <c r="V2329" s="52"/>
      <c r="W2329" s="52"/>
      <c r="X2329" s="52"/>
      <c r="Y2329" s="52"/>
      <c r="Z2329" s="52"/>
      <c r="AA2329" s="52"/>
      <c r="AB2329" s="52"/>
      <c r="AC2329" s="52"/>
      <c r="AD2329" s="52"/>
      <c r="AE2329" s="52"/>
      <c r="AF2329" s="52"/>
      <c r="AG2329" s="52"/>
      <c r="AH2329" s="52"/>
      <c r="AM2329" s="52"/>
      <c r="AN2329" s="52"/>
    </row>
    <row r="2330" spans="16:40" x14ac:dyDescent="0.2">
      <c r="P2330" s="52"/>
      <c r="Q2330" s="52"/>
      <c r="R2330" s="52"/>
      <c r="S2330" s="52"/>
      <c r="T2330" s="52"/>
      <c r="U2330" s="52"/>
      <c r="V2330" s="52"/>
      <c r="W2330" s="52"/>
      <c r="X2330" s="52"/>
      <c r="Y2330" s="52"/>
      <c r="Z2330" s="52"/>
      <c r="AA2330" s="52"/>
      <c r="AB2330" s="52"/>
      <c r="AC2330" s="52"/>
      <c r="AD2330" s="52"/>
      <c r="AE2330" s="52"/>
      <c r="AF2330" s="52"/>
      <c r="AG2330" s="52"/>
      <c r="AH2330" s="52"/>
      <c r="AM2330" s="52"/>
      <c r="AN2330" s="52"/>
    </row>
    <row r="2331" spans="16:40" x14ac:dyDescent="0.2">
      <c r="P2331" s="52"/>
      <c r="Q2331" s="52"/>
      <c r="R2331" s="52"/>
      <c r="S2331" s="52"/>
      <c r="T2331" s="52"/>
      <c r="U2331" s="52"/>
      <c r="V2331" s="52"/>
      <c r="W2331" s="52"/>
      <c r="X2331" s="52"/>
      <c r="Y2331" s="52"/>
      <c r="Z2331" s="52"/>
      <c r="AA2331" s="52"/>
      <c r="AB2331" s="52"/>
      <c r="AC2331" s="52"/>
      <c r="AD2331" s="52"/>
      <c r="AE2331" s="52"/>
      <c r="AF2331" s="52"/>
      <c r="AG2331" s="52"/>
      <c r="AH2331" s="52"/>
      <c r="AM2331" s="52"/>
      <c r="AN2331" s="52"/>
    </row>
    <row r="2332" spans="16:40" x14ac:dyDescent="0.2">
      <c r="P2332" s="52"/>
      <c r="Q2332" s="52"/>
      <c r="R2332" s="52"/>
      <c r="S2332" s="52"/>
      <c r="T2332" s="52"/>
      <c r="U2332" s="52"/>
      <c r="V2332" s="52"/>
      <c r="W2332" s="52"/>
      <c r="X2332" s="52"/>
      <c r="Y2332" s="52"/>
      <c r="Z2332" s="52"/>
      <c r="AA2332" s="52"/>
      <c r="AB2332" s="52"/>
      <c r="AC2332" s="52"/>
      <c r="AD2332" s="52"/>
      <c r="AE2332" s="52"/>
      <c r="AF2332" s="52"/>
      <c r="AG2332" s="52"/>
      <c r="AH2332" s="52"/>
      <c r="AM2332" s="52"/>
      <c r="AN2332" s="52"/>
    </row>
    <row r="2333" spans="16:40" x14ac:dyDescent="0.2">
      <c r="P2333" s="52"/>
      <c r="Q2333" s="52"/>
      <c r="R2333" s="52"/>
      <c r="S2333" s="52"/>
      <c r="T2333" s="52"/>
      <c r="U2333" s="52"/>
      <c r="V2333" s="52"/>
      <c r="W2333" s="52"/>
      <c r="X2333" s="52"/>
      <c r="Y2333" s="52"/>
      <c r="Z2333" s="52"/>
      <c r="AA2333" s="52"/>
      <c r="AB2333" s="52"/>
      <c r="AC2333" s="52"/>
      <c r="AD2333" s="52"/>
      <c r="AE2333" s="52"/>
      <c r="AF2333" s="52"/>
      <c r="AG2333" s="52"/>
      <c r="AH2333" s="52"/>
      <c r="AM2333" s="52"/>
      <c r="AN2333" s="52"/>
    </row>
    <row r="2334" spans="16:40" x14ac:dyDescent="0.2">
      <c r="P2334" s="52"/>
      <c r="Q2334" s="52"/>
      <c r="R2334" s="52"/>
      <c r="S2334" s="52"/>
      <c r="T2334" s="52"/>
      <c r="U2334" s="52"/>
      <c r="V2334" s="52"/>
      <c r="W2334" s="52"/>
      <c r="X2334" s="52"/>
      <c r="Y2334" s="52"/>
      <c r="Z2334" s="52"/>
      <c r="AA2334" s="52"/>
      <c r="AB2334" s="52"/>
      <c r="AC2334" s="52"/>
      <c r="AD2334" s="52"/>
      <c r="AE2334" s="52"/>
      <c r="AF2334" s="52"/>
      <c r="AG2334" s="52"/>
      <c r="AH2334" s="52"/>
      <c r="AM2334" s="52"/>
      <c r="AN2334" s="52"/>
    </row>
    <row r="2335" spans="16:40" x14ac:dyDescent="0.2">
      <c r="P2335" s="52"/>
      <c r="Q2335" s="52"/>
      <c r="R2335" s="52"/>
      <c r="S2335" s="52"/>
      <c r="T2335" s="52"/>
      <c r="U2335" s="52"/>
      <c r="V2335" s="52"/>
      <c r="W2335" s="52"/>
      <c r="X2335" s="52"/>
      <c r="Y2335" s="52"/>
      <c r="Z2335" s="52"/>
      <c r="AA2335" s="52"/>
      <c r="AB2335" s="52"/>
      <c r="AC2335" s="52"/>
      <c r="AD2335" s="52"/>
      <c r="AE2335" s="52"/>
      <c r="AF2335" s="52"/>
      <c r="AG2335" s="52"/>
      <c r="AH2335" s="52"/>
      <c r="AM2335" s="52"/>
      <c r="AN2335" s="52"/>
    </row>
    <row r="2336" spans="16:40" x14ac:dyDescent="0.2">
      <c r="P2336" s="52"/>
      <c r="Q2336" s="52"/>
      <c r="R2336" s="52"/>
      <c r="S2336" s="52"/>
      <c r="T2336" s="52"/>
      <c r="U2336" s="52"/>
      <c r="V2336" s="52"/>
      <c r="W2336" s="52"/>
      <c r="X2336" s="52"/>
      <c r="Y2336" s="52"/>
      <c r="Z2336" s="52"/>
      <c r="AA2336" s="52"/>
      <c r="AB2336" s="52"/>
      <c r="AC2336" s="52"/>
      <c r="AD2336" s="52"/>
      <c r="AE2336" s="52"/>
      <c r="AF2336" s="52"/>
      <c r="AG2336" s="52"/>
      <c r="AH2336" s="52"/>
      <c r="AM2336" s="52"/>
      <c r="AN2336" s="52"/>
    </row>
    <row r="2337" spans="16:40" x14ac:dyDescent="0.2">
      <c r="P2337" s="52"/>
      <c r="Q2337" s="52"/>
      <c r="R2337" s="52"/>
      <c r="S2337" s="52"/>
      <c r="T2337" s="52"/>
      <c r="U2337" s="52"/>
      <c r="V2337" s="52"/>
      <c r="W2337" s="52"/>
      <c r="X2337" s="52"/>
      <c r="Y2337" s="52"/>
      <c r="Z2337" s="52"/>
      <c r="AA2337" s="52"/>
      <c r="AB2337" s="52"/>
      <c r="AC2337" s="52"/>
      <c r="AD2337" s="52"/>
      <c r="AE2337" s="52"/>
      <c r="AF2337" s="52"/>
      <c r="AG2337" s="52"/>
      <c r="AH2337" s="52"/>
      <c r="AM2337" s="52"/>
      <c r="AN2337" s="52"/>
    </row>
    <row r="2338" spans="16:40" x14ac:dyDescent="0.2">
      <c r="P2338" s="52"/>
      <c r="Q2338" s="52"/>
      <c r="R2338" s="52"/>
      <c r="S2338" s="52"/>
      <c r="T2338" s="52"/>
      <c r="U2338" s="52"/>
      <c r="V2338" s="52"/>
      <c r="W2338" s="52"/>
      <c r="X2338" s="52"/>
      <c r="Y2338" s="52"/>
      <c r="Z2338" s="52"/>
      <c r="AA2338" s="52"/>
      <c r="AB2338" s="52"/>
      <c r="AC2338" s="52"/>
      <c r="AD2338" s="52"/>
      <c r="AE2338" s="52"/>
      <c r="AF2338" s="52"/>
      <c r="AG2338" s="52"/>
      <c r="AH2338" s="52"/>
      <c r="AM2338" s="52"/>
      <c r="AN2338" s="52"/>
    </row>
    <row r="2339" spans="16:40" x14ac:dyDescent="0.2">
      <c r="P2339" s="52"/>
      <c r="Q2339" s="52"/>
      <c r="R2339" s="52"/>
      <c r="S2339" s="52"/>
      <c r="T2339" s="52"/>
      <c r="U2339" s="52"/>
      <c r="V2339" s="52"/>
      <c r="W2339" s="52"/>
      <c r="X2339" s="52"/>
      <c r="Y2339" s="52"/>
      <c r="Z2339" s="52"/>
      <c r="AA2339" s="52"/>
      <c r="AB2339" s="52"/>
      <c r="AC2339" s="52"/>
      <c r="AD2339" s="52"/>
      <c r="AE2339" s="52"/>
      <c r="AF2339" s="52"/>
      <c r="AG2339" s="52"/>
      <c r="AH2339" s="52"/>
      <c r="AM2339" s="52"/>
      <c r="AN2339" s="52"/>
    </row>
    <row r="2340" spans="16:40" x14ac:dyDescent="0.2"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2"/>
      <c r="AA2340" s="52"/>
      <c r="AB2340" s="52"/>
      <c r="AC2340" s="52"/>
      <c r="AD2340" s="52"/>
      <c r="AE2340" s="52"/>
      <c r="AF2340" s="52"/>
      <c r="AG2340" s="52"/>
      <c r="AH2340" s="52"/>
      <c r="AM2340" s="52"/>
      <c r="AN2340" s="52"/>
    </row>
    <row r="2341" spans="16:40" x14ac:dyDescent="0.2">
      <c r="P2341" s="52"/>
      <c r="Q2341" s="52"/>
      <c r="R2341" s="52"/>
      <c r="S2341" s="52"/>
      <c r="T2341" s="52"/>
      <c r="U2341" s="52"/>
      <c r="V2341" s="52"/>
      <c r="W2341" s="52"/>
      <c r="X2341" s="52"/>
      <c r="Y2341" s="52"/>
      <c r="Z2341" s="52"/>
      <c r="AA2341" s="52"/>
      <c r="AB2341" s="52"/>
      <c r="AC2341" s="52"/>
      <c r="AD2341" s="52"/>
      <c r="AE2341" s="52"/>
      <c r="AF2341" s="52"/>
      <c r="AG2341" s="52"/>
      <c r="AH2341" s="52"/>
      <c r="AM2341" s="52"/>
      <c r="AN2341" s="52"/>
    </row>
    <row r="2342" spans="16:40" x14ac:dyDescent="0.2">
      <c r="P2342" s="52"/>
      <c r="Q2342" s="52"/>
      <c r="R2342" s="52"/>
      <c r="S2342" s="52"/>
      <c r="T2342" s="52"/>
      <c r="U2342" s="52"/>
      <c r="V2342" s="52"/>
      <c r="W2342" s="52"/>
      <c r="X2342" s="52"/>
      <c r="Y2342" s="52"/>
      <c r="Z2342" s="52"/>
      <c r="AA2342" s="52"/>
      <c r="AB2342" s="52"/>
      <c r="AC2342" s="52"/>
      <c r="AD2342" s="52"/>
      <c r="AE2342" s="52"/>
      <c r="AF2342" s="52"/>
      <c r="AG2342" s="52"/>
      <c r="AH2342" s="52"/>
      <c r="AM2342" s="52"/>
      <c r="AN2342" s="52"/>
    </row>
    <row r="2343" spans="16:40" x14ac:dyDescent="0.2">
      <c r="P2343" s="52"/>
      <c r="Q2343" s="52"/>
      <c r="R2343" s="52"/>
      <c r="S2343" s="52"/>
      <c r="T2343" s="52"/>
      <c r="U2343" s="52"/>
      <c r="V2343" s="52"/>
      <c r="W2343" s="52"/>
      <c r="X2343" s="52"/>
      <c r="Y2343" s="52"/>
      <c r="Z2343" s="52"/>
      <c r="AA2343" s="52"/>
      <c r="AB2343" s="52"/>
      <c r="AC2343" s="52"/>
      <c r="AD2343" s="52"/>
      <c r="AE2343" s="52"/>
      <c r="AF2343" s="52"/>
      <c r="AG2343" s="52"/>
      <c r="AH2343" s="52"/>
      <c r="AM2343" s="52"/>
      <c r="AN2343" s="52"/>
    </row>
    <row r="2344" spans="16:40" x14ac:dyDescent="0.2">
      <c r="P2344" s="52"/>
      <c r="Q2344" s="52"/>
      <c r="R2344" s="52"/>
      <c r="S2344" s="52"/>
      <c r="T2344" s="52"/>
      <c r="U2344" s="52"/>
      <c r="V2344" s="52"/>
      <c r="W2344" s="52"/>
      <c r="X2344" s="52"/>
      <c r="Y2344" s="52"/>
      <c r="Z2344" s="52"/>
      <c r="AA2344" s="52"/>
      <c r="AB2344" s="52"/>
      <c r="AC2344" s="52"/>
      <c r="AD2344" s="52"/>
      <c r="AE2344" s="52"/>
      <c r="AF2344" s="52"/>
      <c r="AG2344" s="52"/>
      <c r="AH2344" s="52"/>
      <c r="AM2344" s="52"/>
      <c r="AN2344" s="52"/>
    </row>
    <row r="2345" spans="16:40" x14ac:dyDescent="0.2">
      <c r="P2345" s="52"/>
      <c r="Q2345" s="52"/>
      <c r="R2345" s="52"/>
      <c r="S2345" s="52"/>
      <c r="T2345" s="52"/>
      <c r="U2345" s="52"/>
      <c r="V2345" s="52"/>
      <c r="W2345" s="52"/>
      <c r="X2345" s="52"/>
      <c r="Y2345" s="52"/>
      <c r="Z2345" s="52"/>
      <c r="AA2345" s="52"/>
      <c r="AB2345" s="52"/>
      <c r="AC2345" s="52"/>
      <c r="AD2345" s="52"/>
      <c r="AE2345" s="52"/>
      <c r="AF2345" s="52"/>
      <c r="AG2345" s="52"/>
      <c r="AH2345" s="52"/>
      <c r="AM2345" s="52"/>
      <c r="AN2345" s="52"/>
    </row>
    <row r="2346" spans="16:40" x14ac:dyDescent="0.2">
      <c r="P2346" s="52"/>
      <c r="Q2346" s="52"/>
      <c r="R2346" s="52"/>
      <c r="S2346" s="52"/>
      <c r="T2346" s="52"/>
      <c r="U2346" s="52"/>
      <c r="V2346" s="52"/>
      <c r="W2346" s="52"/>
      <c r="X2346" s="52"/>
      <c r="Y2346" s="52"/>
      <c r="Z2346" s="52"/>
      <c r="AA2346" s="52"/>
      <c r="AB2346" s="52"/>
      <c r="AC2346" s="52"/>
      <c r="AD2346" s="52"/>
      <c r="AE2346" s="52"/>
      <c r="AF2346" s="52"/>
      <c r="AG2346" s="52"/>
      <c r="AH2346" s="52"/>
      <c r="AM2346" s="52"/>
      <c r="AN2346" s="52"/>
    </row>
    <row r="2347" spans="16:40" x14ac:dyDescent="0.2">
      <c r="P2347" s="52"/>
      <c r="Q2347" s="52"/>
      <c r="R2347" s="52"/>
      <c r="S2347" s="52"/>
      <c r="T2347" s="52"/>
      <c r="U2347" s="52"/>
      <c r="V2347" s="52"/>
      <c r="W2347" s="52"/>
      <c r="X2347" s="52"/>
      <c r="Y2347" s="52"/>
      <c r="Z2347" s="52"/>
      <c r="AA2347" s="52"/>
      <c r="AB2347" s="52"/>
      <c r="AC2347" s="52"/>
      <c r="AD2347" s="52"/>
      <c r="AE2347" s="52"/>
      <c r="AF2347" s="52"/>
      <c r="AG2347" s="52"/>
      <c r="AH2347" s="52"/>
      <c r="AM2347" s="52"/>
      <c r="AN2347" s="52"/>
    </row>
    <row r="2348" spans="16:40" x14ac:dyDescent="0.2">
      <c r="P2348" s="52"/>
      <c r="Q2348" s="52"/>
      <c r="R2348" s="52"/>
      <c r="S2348" s="52"/>
      <c r="T2348" s="52"/>
      <c r="U2348" s="52"/>
      <c r="V2348" s="52"/>
      <c r="W2348" s="52"/>
      <c r="X2348" s="52"/>
      <c r="Y2348" s="52"/>
      <c r="Z2348" s="52"/>
      <c r="AA2348" s="52"/>
      <c r="AB2348" s="52"/>
      <c r="AC2348" s="52"/>
      <c r="AD2348" s="52"/>
      <c r="AE2348" s="52"/>
      <c r="AF2348" s="52"/>
      <c r="AG2348" s="52"/>
      <c r="AH2348" s="52"/>
      <c r="AM2348" s="52"/>
      <c r="AN2348" s="52"/>
    </row>
    <row r="2349" spans="16:40" x14ac:dyDescent="0.2">
      <c r="P2349" s="52"/>
      <c r="Q2349" s="52"/>
      <c r="R2349" s="52"/>
      <c r="S2349" s="52"/>
      <c r="T2349" s="52"/>
      <c r="U2349" s="52"/>
      <c r="V2349" s="52"/>
      <c r="W2349" s="52"/>
      <c r="X2349" s="52"/>
      <c r="Y2349" s="52"/>
      <c r="Z2349" s="52"/>
      <c r="AA2349" s="52"/>
      <c r="AB2349" s="52"/>
      <c r="AC2349" s="52"/>
      <c r="AD2349" s="52"/>
      <c r="AE2349" s="52"/>
      <c r="AF2349" s="52"/>
      <c r="AG2349" s="52"/>
      <c r="AH2349" s="52"/>
      <c r="AM2349" s="52"/>
      <c r="AN2349" s="52"/>
    </row>
    <row r="2350" spans="16:40" x14ac:dyDescent="0.2">
      <c r="P2350" s="52"/>
      <c r="Q2350" s="52"/>
      <c r="R2350" s="52"/>
      <c r="S2350" s="52"/>
      <c r="T2350" s="52"/>
      <c r="U2350" s="52"/>
      <c r="V2350" s="52"/>
      <c r="W2350" s="52"/>
      <c r="X2350" s="52"/>
      <c r="Y2350" s="52"/>
      <c r="Z2350" s="52"/>
      <c r="AA2350" s="52"/>
      <c r="AB2350" s="52"/>
      <c r="AC2350" s="52"/>
      <c r="AD2350" s="52"/>
      <c r="AE2350" s="52"/>
      <c r="AF2350" s="52"/>
      <c r="AG2350" s="52"/>
      <c r="AH2350" s="52"/>
      <c r="AM2350" s="52"/>
      <c r="AN2350" s="52"/>
    </row>
    <row r="2351" spans="16:40" x14ac:dyDescent="0.2">
      <c r="P2351" s="52"/>
      <c r="Q2351" s="52"/>
      <c r="R2351" s="52"/>
      <c r="S2351" s="52"/>
      <c r="T2351" s="52"/>
      <c r="U2351" s="52"/>
      <c r="V2351" s="52"/>
      <c r="W2351" s="52"/>
      <c r="X2351" s="52"/>
      <c r="Y2351" s="52"/>
      <c r="Z2351" s="52"/>
      <c r="AA2351" s="52"/>
      <c r="AB2351" s="52"/>
      <c r="AC2351" s="52"/>
      <c r="AD2351" s="52"/>
      <c r="AE2351" s="52"/>
      <c r="AF2351" s="52"/>
      <c r="AG2351" s="52"/>
      <c r="AH2351" s="52"/>
      <c r="AM2351" s="52"/>
      <c r="AN2351" s="52"/>
    </row>
    <row r="2352" spans="16:40" x14ac:dyDescent="0.2">
      <c r="P2352" s="52"/>
      <c r="Q2352" s="52"/>
      <c r="R2352" s="52"/>
      <c r="S2352" s="52"/>
      <c r="T2352" s="52"/>
      <c r="U2352" s="52"/>
      <c r="V2352" s="52"/>
      <c r="W2352" s="52"/>
      <c r="X2352" s="52"/>
      <c r="Y2352" s="52"/>
      <c r="Z2352" s="52"/>
      <c r="AA2352" s="52"/>
      <c r="AB2352" s="52"/>
      <c r="AC2352" s="52"/>
      <c r="AD2352" s="52"/>
      <c r="AE2352" s="52"/>
      <c r="AF2352" s="52"/>
      <c r="AG2352" s="52"/>
      <c r="AH2352" s="52"/>
      <c r="AM2352" s="52"/>
      <c r="AN2352" s="52"/>
    </row>
    <row r="2353" spans="16:40" x14ac:dyDescent="0.2">
      <c r="P2353" s="52"/>
      <c r="Q2353" s="52"/>
      <c r="R2353" s="52"/>
      <c r="S2353" s="52"/>
      <c r="T2353" s="52"/>
      <c r="U2353" s="52"/>
      <c r="V2353" s="52"/>
      <c r="W2353" s="52"/>
      <c r="X2353" s="52"/>
      <c r="Y2353" s="52"/>
      <c r="Z2353" s="52"/>
      <c r="AA2353" s="52"/>
      <c r="AB2353" s="52"/>
      <c r="AC2353" s="52"/>
      <c r="AD2353" s="52"/>
      <c r="AE2353" s="52"/>
      <c r="AF2353" s="52"/>
      <c r="AG2353" s="52"/>
      <c r="AH2353" s="52"/>
      <c r="AM2353" s="52"/>
      <c r="AN2353" s="52"/>
    </row>
    <row r="2354" spans="16:40" x14ac:dyDescent="0.2">
      <c r="P2354" s="52"/>
      <c r="Q2354" s="52"/>
      <c r="R2354" s="52"/>
      <c r="S2354" s="52"/>
      <c r="T2354" s="52"/>
      <c r="U2354" s="52"/>
      <c r="V2354" s="52"/>
      <c r="W2354" s="52"/>
      <c r="X2354" s="52"/>
      <c r="Y2354" s="52"/>
      <c r="Z2354" s="52"/>
      <c r="AA2354" s="52"/>
      <c r="AB2354" s="52"/>
      <c r="AC2354" s="52"/>
      <c r="AD2354" s="52"/>
      <c r="AE2354" s="52"/>
      <c r="AF2354" s="52"/>
      <c r="AG2354" s="52"/>
      <c r="AH2354" s="52"/>
      <c r="AM2354" s="52"/>
      <c r="AN2354" s="52"/>
    </row>
    <row r="2355" spans="16:40" x14ac:dyDescent="0.2">
      <c r="P2355" s="52"/>
      <c r="Q2355" s="52"/>
      <c r="R2355" s="52"/>
      <c r="S2355" s="52"/>
      <c r="T2355" s="52"/>
      <c r="U2355" s="52"/>
      <c r="V2355" s="52"/>
      <c r="W2355" s="52"/>
      <c r="X2355" s="52"/>
      <c r="Y2355" s="52"/>
      <c r="Z2355" s="52"/>
      <c r="AA2355" s="52"/>
      <c r="AB2355" s="52"/>
      <c r="AC2355" s="52"/>
      <c r="AD2355" s="52"/>
      <c r="AE2355" s="52"/>
      <c r="AF2355" s="52"/>
      <c r="AG2355" s="52"/>
      <c r="AH2355" s="52"/>
      <c r="AM2355" s="52"/>
      <c r="AN2355" s="52"/>
    </row>
    <row r="2356" spans="16:40" x14ac:dyDescent="0.2">
      <c r="P2356" s="52"/>
      <c r="Q2356" s="52"/>
      <c r="R2356" s="52"/>
      <c r="S2356" s="52"/>
      <c r="T2356" s="52"/>
      <c r="U2356" s="52"/>
      <c r="V2356" s="52"/>
      <c r="W2356" s="52"/>
      <c r="X2356" s="52"/>
      <c r="Y2356" s="52"/>
      <c r="Z2356" s="52"/>
      <c r="AA2356" s="52"/>
      <c r="AB2356" s="52"/>
      <c r="AC2356" s="52"/>
      <c r="AD2356" s="52"/>
      <c r="AE2356" s="52"/>
      <c r="AF2356" s="52"/>
      <c r="AG2356" s="52"/>
      <c r="AH2356" s="52"/>
      <c r="AM2356" s="52"/>
      <c r="AN2356" s="52"/>
    </row>
    <row r="2357" spans="16:40" x14ac:dyDescent="0.2">
      <c r="P2357" s="52"/>
      <c r="Q2357" s="52"/>
      <c r="R2357" s="52"/>
      <c r="S2357" s="52"/>
      <c r="T2357" s="52"/>
      <c r="U2357" s="52"/>
      <c r="V2357" s="52"/>
      <c r="W2357" s="52"/>
      <c r="X2357" s="52"/>
      <c r="Y2357" s="52"/>
      <c r="Z2357" s="52"/>
      <c r="AA2357" s="52"/>
      <c r="AB2357" s="52"/>
      <c r="AC2357" s="52"/>
      <c r="AD2357" s="52"/>
      <c r="AE2357" s="52"/>
      <c r="AF2357" s="52"/>
      <c r="AG2357" s="52"/>
      <c r="AH2357" s="52"/>
      <c r="AM2357" s="52"/>
      <c r="AN2357" s="52"/>
    </row>
    <row r="2358" spans="16:40" x14ac:dyDescent="0.2">
      <c r="P2358" s="52"/>
      <c r="Q2358" s="52"/>
      <c r="R2358" s="52"/>
      <c r="S2358" s="52"/>
      <c r="T2358" s="52"/>
      <c r="U2358" s="52"/>
      <c r="V2358" s="52"/>
      <c r="W2358" s="52"/>
      <c r="X2358" s="52"/>
      <c r="Y2358" s="52"/>
      <c r="Z2358" s="52"/>
      <c r="AA2358" s="52"/>
      <c r="AB2358" s="52"/>
      <c r="AC2358" s="52"/>
      <c r="AD2358" s="52"/>
      <c r="AE2358" s="52"/>
      <c r="AF2358" s="52"/>
      <c r="AG2358" s="52"/>
      <c r="AH2358" s="52"/>
      <c r="AM2358" s="52"/>
      <c r="AN2358" s="52"/>
    </row>
    <row r="2359" spans="16:40" x14ac:dyDescent="0.2">
      <c r="P2359" s="52"/>
      <c r="Q2359" s="52"/>
      <c r="R2359" s="52"/>
      <c r="S2359" s="52"/>
      <c r="T2359" s="52"/>
      <c r="U2359" s="52"/>
      <c r="V2359" s="52"/>
      <c r="W2359" s="52"/>
      <c r="X2359" s="52"/>
      <c r="Y2359" s="52"/>
      <c r="Z2359" s="52"/>
      <c r="AA2359" s="52"/>
      <c r="AB2359" s="52"/>
      <c r="AC2359" s="52"/>
      <c r="AD2359" s="52"/>
      <c r="AE2359" s="52"/>
      <c r="AF2359" s="52"/>
      <c r="AG2359" s="52"/>
      <c r="AH2359" s="52"/>
      <c r="AM2359" s="52"/>
      <c r="AN2359" s="52"/>
    </row>
    <row r="2360" spans="16:40" x14ac:dyDescent="0.2">
      <c r="P2360" s="52"/>
      <c r="Q2360" s="52"/>
      <c r="R2360" s="52"/>
      <c r="S2360" s="52"/>
      <c r="T2360" s="52"/>
      <c r="U2360" s="52"/>
      <c r="V2360" s="52"/>
      <c r="W2360" s="52"/>
      <c r="X2360" s="52"/>
      <c r="Y2360" s="52"/>
      <c r="Z2360" s="52"/>
      <c r="AA2360" s="52"/>
      <c r="AB2360" s="52"/>
      <c r="AC2360" s="52"/>
      <c r="AD2360" s="52"/>
      <c r="AE2360" s="52"/>
      <c r="AF2360" s="52"/>
      <c r="AG2360" s="52"/>
      <c r="AH2360" s="52"/>
      <c r="AM2360" s="52"/>
      <c r="AN2360" s="52"/>
    </row>
    <row r="2361" spans="16:40" x14ac:dyDescent="0.2">
      <c r="P2361" s="52"/>
      <c r="Q2361" s="52"/>
      <c r="R2361" s="52"/>
      <c r="S2361" s="52"/>
      <c r="T2361" s="52"/>
      <c r="U2361" s="52"/>
      <c r="V2361" s="52"/>
      <c r="W2361" s="52"/>
      <c r="X2361" s="52"/>
      <c r="Y2361" s="52"/>
      <c r="Z2361" s="52"/>
      <c r="AA2361" s="52"/>
      <c r="AB2361" s="52"/>
      <c r="AC2361" s="52"/>
      <c r="AD2361" s="52"/>
      <c r="AE2361" s="52"/>
      <c r="AF2361" s="52"/>
      <c r="AG2361" s="52"/>
      <c r="AH2361" s="52"/>
      <c r="AM2361" s="52"/>
      <c r="AN2361" s="52"/>
    </row>
    <row r="2362" spans="16:40" x14ac:dyDescent="0.2">
      <c r="P2362" s="52"/>
      <c r="Q2362" s="52"/>
      <c r="R2362" s="52"/>
      <c r="S2362" s="52"/>
      <c r="T2362" s="52"/>
      <c r="U2362" s="52"/>
      <c r="V2362" s="52"/>
      <c r="W2362" s="52"/>
      <c r="X2362" s="52"/>
      <c r="Y2362" s="52"/>
      <c r="Z2362" s="52"/>
      <c r="AA2362" s="52"/>
      <c r="AB2362" s="52"/>
      <c r="AC2362" s="52"/>
      <c r="AD2362" s="52"/>
      <c r="AE2362" s="52"/>
      <c r="AF2362" s="52"/>
      <c r="AG2362" s="52"/>
      <c r="AH2362" s="52"/>
      <c r="AM2362" s="52"/>
      <c r="AN2362" s="52"/>
    </row>
    <row r="2363" spans="16:40" x14ac:dyDescent="0.2">
      <c r="P2363" s="52"/>
      <c r="Q2363" s="52"/>
      <c r="R2363" s="52"/>
      <c r="S2363" s="52"/>
      <c r="T2363" s="52"/>
      <c r="U2363" s="52"/>
      <c r="V2363" s="52"/>
      <c r="W2363" s="52"/>
      <c r="X2363" s="52"/>
      <c r="Y2363" s="52"/>
      <c r="Z2363" s="52"/>
      <c r="AA2363" s="52"/>
      <c r="AB2363" s="52"/>
      <c r="AC2363" s="52"/>
      <c r="AD2363" s="52"/>
      <c r="AE2363" s="52"/>
      <c r="AF2363" s="52"/>
      <c r="AG2363" s="52"/>
      <c r="AH2363" s="52"/>
      <c r="AM2363" s="52"/>
      <c r="AN2363" s="52"/>
    </row>
    <row r="2364" spans="16:40" x14ac:dyDescent="0.2">
      <c r="P2364" s="52"/>
      <c r="Q2364" s="52"/>
      <c r="R2364" s="52"/>
      <c r="S2364" s="52"/>
      <c r="T2364" s="52"/>
      <c r="U2364" s="52"/>
      <c r="V2364" s="52"/>
      <c r="W2364" s="52"/>
      <c r="X2364" s="52"/>
      <c r="Y2364" s="52"/>
      <c r="Z2364" s="52"/>
      <c r="AA2364" s="52"/>
      <c r="AB2364" s="52"/>
      <c r="AC2364" s="52"/>
      <c r="AD2364" s="52"/>
      <c r="AE2364" s="52"/>
      <c r="AF2364" s="52"/>
      <c r="AG2364" s="52"/>
      <c r="AH2364" s="52"/>
      <c r="AM2364" s="52"/>
      <c r="AN2364" s="52"/>
    </row>
    <row r="2365" spans="16:40" x14ac:dyDescent="0.2">
      <c r="P2365" s="52"/>
      <c r="Q2365" s="52"/>
      <c r="R2365" s="52"/>
      <c r="S2365" s="52"/>
      <c r="T2365" s="52"/>
      <c r="U2365" s="52"/>
      <c r="V2365" s="52"/>
      <c r="W2365" s="52"/>
      <c r="X2365" s="52"/>
      <c r="Y2365" s="52"/>
      <c r="Z2365" s="52"/>
      <c r="AA2365" s="52"/>
      <c r="AB2365" s="52"/>
      <c r="AC2365" s="52"/>
      <c r="AD2365" s="52"/>
      <c r="AE2365" s="52"/>
      <c r="AF2365" s="52"/>
      <c r="AG2365" s="52"/>
      <c r="AH2365" s="52"/>
      <c r="AM2365" s="52"/>
      <c r="AN2365" s="52"/>
    </row>
    <row r="2366" spans="16:40" x14ac:dyDescent="0.2">
      <c r="P2366" s="52"/>
      <c r="Q2366" s="52"/>
      <c r="R2366" s="52"/>
      <c r="S2366" s="52"/>
      <c r="T2366" s="52"/>
      <c r="U2366" s="52"/>
      <c r="V2366" s="52"/>
      <c r="W2366" s="52"/>
      <c r="X2366" s="52"/>
      <c r="Y2366" s="52"/>
      <c r="Z2366" s="52"/>
      <c r="AA2366" s="52"/>
      <c r="AB2366" s="52"/>
      <c r="AC2366" s="52"/>
      <c r="AD2366" s="52"/>
      <c r="AE2366" s="52"/>
      <c r="AF2366" s="52"/>
      <c r="AG2366" s="52"/>
      <c r="AH2366" s="52"/>
      <c r="AM2366" s="52"/>
      <c r="AN2366" s="52"/>
    </row>
    <row r="2367" spans="16:40" x14ac:dyDescent="0.2">
      <c r="P2367" s="52"/>
      <c r="Q2367" s="52"/>
      <c r="R2367" s="52"/>
      <c r="S2367" s="52"/>
      <c r="T2367" s="52"/>
      <c r="U2367" s="52"/>
      <c r="V2367" s="52"/>
      <c r="W2367" s="52"/>
      <c r="X2367" s="52"/>
      <c r="Y2367" s="52"/>
      <c r="Z2367" s="52"/>
      <c r="AA2367" s="52"/>
      <c r="AB2367" s="52"/>
      <c r="AC2367" s="52"/>
      <c r="AD2367" s="52"/>
      <c r="AE2367" s="52"/>
      <c r="AF2367" s="52"/>
      <c r="AG2367" s="52"/>
      <c r="AH2367" s="52"/>
      <c r="AM2367" s="52"/>
      <c r="AN2367" s="52"/>
    </row>
    <row r="2368" spans="16:40" x14ac:dyDescent="0.2">
      <c r="P2368" s="52"/>
      <c r="Q2368" s="52"/>
      <c r="R2368" s="52"/>
      <c r="S2368" s="52"/>
      <c r="T2368" s="52"/>
      <c r="U2368" s="52"/>
      <c r="V2368" s="52"/>
      <c r="W2368" s="52"/>
      <c r="X2368" s="52"/>
      <c r="Y2368" s="52"/>
      <c r="Z2368" s="52"/>
      <c r="AA2368" s="52"/>
      <c r="AB2368" s="52"/>
      <c r="AC2368" s="52"/>
      <c r="AD2368" s="52"/>
      <c r="AE2368" s="52"/>
      <c r="AF2368" s="52"/>
      <c r="AG2368" s="52"/>
      <c r="AH2368" s="52"/>
      <c r="AM2368" s="52"/>
      <c r="AN2368" s="52"/>
    </row>
    <row r="2369" spans="16:40" x14ac:dyDescent="0.2">
      <c r="P2369" s="52"/>
      <c r="Q2369" s="52"/>
      <c r="R2369" s="52"/>
      <c r="S2369" s="52"/>
      <c r="T2369" s="52"/>
      <c r="U2369" s="52"/>
      <c r="V2369" s="52"/>
      <c r="W2369" s="52"/>
      <c r="X2369" s="52"/>
      <c r="Y2369" s="52"/>
      <c r="Z2369" s="52"/>
      <c r="AA2369" s="52"/>
      <c r="AB2369" s="52"/>
      <c r="AC2369" s="52"/>
      <c r="AD2369" s="52"/>
      <c r="AE2369" s="52"/>
      <c r="AF2369" s="52"/>
      <c r="AG2369" s="52"/>
      <c r="AH2369" s="52"/>
      <c r="AM2369" s="52"/>
      <c r="AN2369" s="52"/>
    </row>
    <row r="2370" spans="16:40" x14ac:dyDescent="0.2">
      <c r="P2370" s="52"/>
      <c r="Q2370" s="52"/>
      <c r="R2370" s="52"/>
      <c r="S2370" s="52"/>
      <c r="T2370" s="52"/>
      <c r="U2370" s="52"/>
      <c r="V2370" s="52"/>
      <c r="W2370" s="52"/>
      <c r="X2370" s="52"/>
      <c r="Y2370" s="52"/>
      <c r="Z2370" s="52"/>
      <c r="AA2370" s="52"/>
      <c r="AB2370" s="52"/>
      <c r="AC2370" s="52"/>
      <c r="AD2370" s="52"/>
      <c r="AE2370" s="52"/>
      <c r="AF2370" s="52"/>
      <c r="AG2370" s="52"/>
      <c r="AH2370" s="52"/>
      <c r="AM2370" s="52"/>
      <c r="AN2370" s="52"/>
    </row>
    <row r="2371" spans="16:40" x14ac:dyDescent="0.2">
      <c r="P2371" s="52"/>
      <c r="Q2371" s="52"/>
      <c r="R2371" s="52"/>
      <c r="S2371" s="52"/>
      <c r="T2371" s="52"/>
      <c r="U2371" s="52"/>
      <c r="V2371" s="52"/>
      <c r="W2371" s="52"/>
      <c r="X2371" s="52"/>
      <c r="Y2371" s="52"/>
      <c r="Z2371" s="52"/>
      <c r="AA2371" s="52"/>
      <c r="AB2371" s="52"/>
      <c r="AC2371" s="52"/>
      <c r="AD2371" s="52"/>
      <c r="AE2371" s="52"/>
      <c r="AF2371" s="52"/>
      <c r="AG2371" s="52"/>
      <c r="AH2371" s="52"/>
      <c r="AM2371" s="52"/>
      <c r="AN2371" s="52"/>
    </row>
    <row r="2372" spans="16:40" x14ac:dyDescent="0.2">
      <c r="P2372" s="52"/>
      <c r="Q2372" s="52"/>
      <c r="R2372" s="52"/>
      <c r="S2372" s="52"/>
      <c r="T2372" s="52"/>
      <c r="U2372" s="52"/>
      <c r="V2372" s="52"/>
      <c r="W2372" s="52"/>
      <c r="X2372" s="52"/>
      <c r="Y2372" s="52"/>
      <c r="Z2372" s="52"/>
      <c r="AA2372" s="52"/>
      <c r="AB2372" s="52"/>
      <c r="AC2372" s="52"/>
      <c r="AD2372" s="52"/>
      <c r="AE2372" s="52"/>
      <c r="AF2372" s="52"/>
      <c r="AG2372" s="52"/>
      <c r="AH2372" s="52"/>
      <c r="AM2372" s="52"/>
      <c r="AN2372" s="52"/>
    </row>
    <row r="2373" spans="16:40" x14ac:dyDescent="0.2">
      <c r="P2373" s="52"/>
      <c r="Q2373" s="52"/>
      <c r="R2373" s="52"/>
      <c r="S2373" s="52"/>
      <c r="T2373" s="52"/>
      <c r="U2373" s="52"/>
      <c r="V2373" s="52"/>
      <c r="W2373" s="52"/>
      <c r="X2373" s="52"/>
      <c r="Y2373" s="52"/>
      <c r="Z2373" s="52"/>
      <c r="AA2373" s="52"/>
      <c r="AB2373" s="52"/>
      <c r="AC2373" s="52"/>
      <c r="AD2373" s="52"/>
      <c r="AE2373" s="52"/>
      <c r="AF2373" s="52"/>
      <c r="AG2373" s="52"/>
      <c r="AH2373" s="52"/>
      <c r="AM2373" s="52"/>
      <c r="AN2373" s="52"/>
    </row>
    <row r="2374" spans="16:40" x14ac:dyDescent="0.2">
      <c r="P2374" s="52"/>
      <c r="Q2374" s="52"/>
      <c r="R2374" s="52"/>
      <c r="S2374" s="52"/>
      <c r="T2374" s="52"/>
      <c r="U2374" s="52"/>
      <c r="V2374" s="52"/>
      <c r="W2374" s="52"/>
      <c r="X2374" s="52"/>
      <c r="Y2374" s="52"/>
      <c r="Z2374" s="52"/>
      <c r="AA2374" s="52"/>
      <c r="AB2374" s="52"/>
      <c r="AC2374" s="52"/>
      <c r="AD2374" s="52"/>
      <c r="AE2374" s="52"/>
      <c r="AF2374" s="52"/>
      <c r="AG2374" s="52"/>
      <c r="AH2374" s="52"/>
      <c r="AM2374" s="52"/>
      <c r="AN2374" s="52"/>
    </row>
    <row r="2375" spans="16:40" x14ac:dyDescent="0.2">
      <c r="P2375" s="52"/>
      <c r="Q2375" s="52"/>
      <c r="R2375" s="52"/>
      <c r="S2375" s="52"/>
      <c r="T2375" s="52"/>
      <c r="U2375" s="52"/>
      <c r="V2375" s="52"/>
      <c r="W2375" s="52"/>
      <c r="X2375" s="52"/>
      <c r="Y2375" s="52"/>
      <c r="Z2375" s="52"/>
      <c r="AA2375" s="52"/>
      <c r="AB2375" s="52"/>
      <c r="AC2375" s="52"/>
      <c r="AD2375" s="52"/>
      <c r="AE2375" s="52"/>
      <c r="AF2375" s="52"/>
      <c r="AG2375" s="52"/>
      <c r="AH2375" s="52"/>
      <c r="AM2375" s="52"/>
      <c r="AN2375" s="52"/>
    </row>
    <row r="2376" spans="16:40" x14ac:dyDescent="0.2">
      <c r="P2376" s="52"/>
      <c r="Q2376" s="52"/>
      <c r="R2376" s="52"/>
      <c r="S2376" s="52"/>
      <c r="T2376" s="52"/>
      <c r="U2376" s="52"/>
      <c r="V2376" s="52"/>
      <c r="W2376" s="52"/>
      <c r="X2376" s="52"/>
      <c r="Y2376" s="52"/>
      <c r="Z2376" s="52"/>
      <c r="AA2376" s="52"/>
      <c r="AB2376" s="52"/>
      <c r="AC2376" s="52"/>
      <c r="AD2376" s="52"/>
      <c r="AE2376" s="52"/>
      <c r="AF2376" s="52"/>
      <c r="AG2376" s="52"/>
      <c r="AH2376" s="52"/>
      <c r="AM2376" s="52"/>
      <c r="AN2376" s="52"/>
    </row>
    <row r="2377" spans="16:40" x14ac:dyDescent="0.2">
      <c r="P2377" s="52"/>
      <c r="Q2377" s="52"/>
      <c r="R2377" s="52"/>
      <c r="S2377" s="52"/>
      <c r="T2377" s="52"/>
      <c r="U2377" s="52"/>
      <c r="V2377" s="52"/>
      <c r="W2377" s="52"/>
      <c r="X2377" s="52"/>
      <c r="Y2377" s="52"/>
      <c r="Z2377" s="52"/>
      <c r="AA2377" s="52"/>
      <c r="AB2377" s="52"/>
      <c r="AC2377" s="52"/>
      <c r="AD2377" s="52"/>
      <c r="AE2377" s="52"/>
      <c r="AF2377" s="52"/>
      <c r="AG2377" s="52"/>
      <c r="AH2377" s="52"/>
      <c r="AM2377" s="52"/>
      <c r="AN2377" s="52"/>
    </row>
    <row r="2378" spans="16:40" x14ac:dyDescent="0.2"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2"/>
      <c r="AA2378" s="52"/>
      <c r="AB2378" s="52"/>
      <c r="AC2378" s="52"/>
      <c r="AD2378" s="52"/>
      <c r="AE2378" s="52"/>
      <c r="AF2378" s="52"/>
      <c r="AG2378" s="52"/>
      <c r="AH2378" s="52"/>
      <c r="AM2378" s="52"/>
      <c r="AN2378" s="52"/>
    </row>
    <row r="2379" spans="16:40" x14ac:dyDescent="0.2">
      <c r="P2379" s="52"/>
      <c r="Q2379" s="52"/>
      <c r="R2379" s="52"/>
      <c r="S2379" s="52"/>
      <c r="T2379" s="52"/>
      <c r="U2379" s="52"/>
      <c r="V2379" s="52"/>
      <c r="W2379" s="52"/>
      <c r="X2379" s="52"/>
      <c r="Y2379" s="52"/>
      <c r="Z2379" s="52"/>
      <c r="AA2379" s="52"/>
      <c r="AB2379" s="52"/>
      <c r="AC2379" s="52"/>
      <c r="AD2379" s="52"/>
      <c r="AE2379" s="52"/>
      <c r="AF2379" s="52"/>
      <c r="AG2379" s="52"/>
      <c r="AH2379" s="52"/>
      <c r="AM2379" s="52"/>
      <c r="AN2379" s="52"/>
    </row>
    <row r="2380" spans="16:40" x14ac:dyDescent="0.2">
      <c r="P2380" s="52"/>
      <c r="Q2380" s="52"/>
      <c r="R2380" s="52"/>
      <c r="S2380" s="52"/>
      <c r="T2380" s="52"/>
      <c r="U2380" s="52"/>
      <c r="V2380" s="52"/>
      <c r="W2380" s="52"/>
      <c r="X2380" s="52"/>
      <c r="Y2380" s="52"/>
      <c r="Z2380" s="52"/>
      <c r="AA2380" s="52"/>
      <c r="AB2380" s="52"/>
      <c r="AC2380" s="52"/>
      <c r="AD2380" s="52"/>
      <c r="AE2380" s="52"/>
      <c r="AF2380" s="52"/>
      <c r="AG2380" s="52"/>
      <c r="AH2380" s="52"/>
      <c r="AM2380" s="52"/>
      <c r="AN2380" s="52"/>
    </row>
    <row r="2381" spans="16:40" x14ac:dyDescent="0.2">
      <c r="P2381" s="52"/>
      <c r="Q2381" s="52"/>
      <c r="R2381" s="52"/>
      <c r="S2381" s="52"/>
      <c r="T2381" s="52"/>
      <c r="U2381" s="52"/>
      <c r="V2381" s="52"/>
      <c r="W2381" s="52"/>
      <c r="X2381" s="52"/>
      <c r="Y2381" s="52"/>
      <c r="Z2381" s="52"/>
      <c r="AA2381" s="52"/>
      <c r="AB2381" s="52"/>
      <c r="AC2381" s="52"/>
      <c r="AD2381" s="52"/>
      <c r="AE2381" s="52"/>
      <c r="AF2381" s="52"/>
      <c r="AG2381" s="52"/>
      <c r="AH2381" s="52"/>
      <c r="AM2381" s="52"/>
      <c r="AN2381" s="52"/>
    </row>
    <row r="2382" spans="16:40" x14ac:dyDescent="0.2">
      <c r="P2382" s="52"/>
      <c r="Q2382" s="52"/>
      <c r="R2382" s="52"/>
      <c r="S2382" s="52"/>
      <c r="T2382" s="52"/>
      <c r="U2382" s="52"/>
      <c r="V2382" s="52"/>
      <c r="W2382" s="52"/>
      <c r="X2382" s="52"/>
      <c r="Y2382" s="52"/>
      <c r="Z2382" s="52"/>
      <c r="AA2382" s="52"/>
      <c r="AB2382" s="52"/>
      <c r="AC2382" s="52"/>
      <c r="AD2382" s="52"/>
      <c r="AE2382" s="52"/>
      <c r="AF2382" s="52"/>
      <c r="AG2382" s="52"/>
      <c r="AH2382" s="52"/>
      <c r="AM2382" s="52"/>
      <c r="AN2382" s="52"/>
    </row>
    <row r="2383" spans="16:40" x14ac:dyDescent="0.2">
      <c r="P2383" s="52"/>
      <c r="Q2383" s="52"/>
      <c r="R2383" s="52"/>
      <c r="S2383" s="52"/>
      <c r="T2383" s="52"/>
      <c r="U2383" s="52"/>
      <c r="V2383" s="52"/>
      <c r="W2383" s="52"/>
      <c r="X2383" s="52"/>
      <c r="Y2383" s="52"/>
      <c r="Z2383" s="52"/>
      <c r="AA2383" s="52"/>
      <c r="AB2383" s="52"/>
      <c r="AC2383" s="52"/>
      <c r="AD2383" s="52"/>
      <c r="AE2383" s="52"/>
      <c r="AF2383" s="52"/>
      <c r="AG2383" s="52"/>
      <c r="AH2383" s="52"/>
      <c r="AM2383" s="52"/>
      <c r="AN2383" s="52"/>
    </row>
    <row r="2384" spans="16:40" x14ac:dyDescent="0.2">
      <c r="P2384" s="52"/>
      <c r="Q2384" s="52"/>
      <c r="R2384" s="52"/>
      <c r="S2384" s="52"/>
      <c r="T2384" s="52"/>
      <c r="U2384" s="52"/>
      <c r="V2384" s="52"/>
      <c r="W2384" s="52"/>
      <c r="X2384" s="52"/>
      <c r="Y2384" s="52"/>
      <c r="Z2384" s="52"/>
      <c r="AA2384" s="52"/>
      <c r="AB2384" s="52"/>
      <c r="AC2384" s="52"/>
      <c r="AD2384" s="52"/>
      <c r="AE2384" s="52"/>
      <c r="AF2384" s="52"/>
      <c r="AG2384" s="52"/>
      <c r="AH2384" s="52"/>
      <c r="AM2384" s="52"/>
      <c r="AN2384" s="52"/>
    </row>
    <row r="2385" spans="16:40" x14ac:dyDescent="0.2">
      <c r="P2385" s="52"/>
      <c r="Q2385" s="52"/>
      <c r="R2385" s="52"/>
      <c r="S2385" s="52"/>
      <c r="T2385" s="52"/>
      <c r="U2385" s="52"/>
      <c r="V2385" s="52"/>
      <c r="W2385" s="52"/>
      <c r="X2385" s="52"/>
      <c r="Y2385" s="52"/>
      <c r="Z2385" s="52"/>
      <c r="AA2385" s="52"/>
      <c r="AB2385" s="52"/>
      <c r="AC2385" s="52"/>
      <c r="AD2385" s="52"/>
      <c r="AE2385" s="52"/>
      <c r="AF2385" s="52"/>
      <c r="AG2385" s="52"/>
      <c r="AH2385" s="52"/>
      <c r="AM2385" s="52"/>
      <c r="AN2385" s="52"/>
    </row>
    <row r="2386" spans="16:40" x14ac:dyDescent="0.2">
      <c r="P2386" s="52"/>
      <c r="Q2386" s="52"/>
      <c r="R2386" s="52"/>
      <c r="S2386" s="52"/>
      <c r="T2386" s="52"/>
      <c r="U2386" s="52"/>
      <c r="V2386" s="52"/>
      <c r="W2386" s="52"/>
      <c r="X2386" s="52"/>
      <c r="Y2386" s="52"/>
      <c r="Z2386" s="52"/>
      <c r="AA2386" s="52"/>
      <c r="AB2386" s="52"/>
      <c r="AC2386" s="52"/>
      <c r="AD2386" s="52"/>
      <c r="AE2386" s="52"/>
      <c r="AF2386" s="52"/>
      <c r="AG2386" s="52"/>
      <c r="AH2386" s="52"/>
      <c r="AM2386" s="52"/>
      <c r="AN2386" s="52"/>
    </row>
    <row r="2387" spans="16:40" x14ac:dyDescent="0.2">
      <c r="P2387" s="52"/>
      <c r="Q2387" s="52"/>
      <c r="R2387" s="52"/>
      <c r="S2387" s="52"/>
      <c r="T2387" s="52"/>
      <c r="U2387" s="52"/>
      <c r="V2387" s="52"/>
      <c r="W2387" s="52"/>
      <c r="X2387" s="52"/>
      <c r="Y2387" s="52"/>
      <c r="Z2387" s="52"/>
      <c r="AA2387" s="52"/>
      <c r="AB2387" s="52"/>
      <c r="AC2387" s="52"/>
      <c r="AD2387" s="52"/>
      <c r="AE2387" s="52"/>
      <c r="AF2387" s="52"/>
      <c r="AG2387" s="52"/>
      <c r="AH2387" s="52"/>
      <c r="AM2387" s="52"/>
      <c r="AN2387" s="52"/>
    </row>
    <row r="2388" spans="16:40" x14ac:dyDescent="0.2">
      <c r="P2388" s="52"/>
      <c r="Q2388" s="52"/>
      <c r="R2388" s="52"/>
      <c r="S2388" s="52"/>
      <c r="T2388" s="52"/>
      <c r="U2388" s="52"/>
      <c r="V2388" s="52"/>
      <c r="W2388" s="52"/>
      <c r="X2388" s="52"/>
      <c r="Y2388" s="52"/>
      <c r="Z2388" s="52"/>
      <c r="AA2388" s="52"/>
      <c r="AB2388" s="52"/>
      <c r="AC2388" s="52"/>
      <c r="AD2388" s="52"/>
      <c r="AE2388" s="52"/>
      <c r="AF2388" s="52"/>
      <c r="AG2388" s="52"/>
      <c r="AH2388" s="52"/>
      <c r="AM2388" s="52"/>
      <c r="AN2388" s="52"/>
    </row>
    <row r="2389" spans="16:40" x14ac:dyDescent="0.2">
      <c r="P2389" s="52"/>
      <c r="Q2389" s="52"/>
      <c r="R2389" s="52"/>
      <c r="S2389" s="52"/>
      <c r="T2389" s="52"/>
      <c r="U2389" s="52"/>
      <c r="V2389" s="52"/>
      <c r="W2389" s="52"/>
      <c r="X2389" s="52"/>
      <c r="Y2389" s="52"/>
      <c r="Z2389" s="52"/>
      <c r="AA2389" s="52"/>
      <c r="AB2389" s="52"/>
      <c r="AC2389" s="52"/>
      <c r="AD2389" s="52"/>
      <c r="AE2389" s="52"/>
      <c r="AF2389" s="52"/>
      <c r="AG2389" s="52"/>
      <c r="AH2389" s="52"/>
      <c r="AM2389" s="52"/>
      <c r="AN2389" s="52"/>
    </row>
    <row r="2390" spans="16:40" x14ac:dyDescent="0.2">
      <c r="P2390" s="52"/>
      <c r="Q2390" s="52"/>
      <c r="R2390" s="52"/>
      <c r="S2390" s="52"/>
      <c r="T2390" s="52"/>
      <c r="U2390" s="52"/>
      <c r="V2390" s="52"/>
      <c r="W2390" s="52"/>
      <c r="X2390" s="52"/>
      <c r="Y2390" s="52"/>
      <c r="Z2390" s="52"/>
      <c r="AA2390" s="52"/>
      <c r="AB2390" s="52"/>
      <c r="AC2390" s="52"/>
      <c r="AD2390" s="52"/>
      <c r="AE2390" s="52"/>
      <c r="AF2390" s="52"/>
      <c r="AG2390" s="52"/>
      <c r="AH2390" s="52"/>
      <c r="AM2390" s="52"/>
      <c r="AN2390" s="52"/>
    </row>
    <row r="2391" spans="16:40" x14ac:dyDescent="0.2">
      <c r="P2391" s="52"/>
      <c r="Q2391" s="52"/>
      <c r="R2391" s="52"/>
      <c r="S2391" s="52"/>
      <c r="T2391" s="52"/>
      <c r="U2391" s="52"/>
      <c r="V2391" s="52"/>
      <c r="W2391" s="52"/>
      <c r="X2391" s="52"/>
      <c r="Y2391" s="52"/>
      <c r="Z2391" s="52"/>
      <c r="AA2391" s="52"/>
      <c r="AB2391" s="52"/>
      <c r="AC2391" s="52"/>
      <c r="AD2391" s="52"/>
      <c r="AE2391" s="52"/>
      <c r="AF2391" s="52"/>
      <c r="AG2391" s="52"/>
      <c r="AH2391" s="52"/>
      <c r="AM2391" s="52"/>
      <c r="AN2391" s="52"/>
    </row>
    <row r="2392" spans="16:40" x14ac:dyDescent="0.2">
      <c r="P2392" s="52"/>
      <c r="Q2392" s="52"/>
      <c r="R2392" s="52"/>
      <c r="S2392" s="52"/>
      <c r="T2392" s="52"/>
      <c r="U2392" s="52"/>
      <c r="V2392" s="52"/>
      <c r="W2392" s="52"/>
      <c r="X2392" s="52"/>
      <c r="Y2392" s="52"/>
      <c r="Z2392" s="52"/>
      <c r="AA2392" s="52"/>
      <c r="AB2392" s="52"/>
      <c r="AC2392" s="52"/>
      <c r="AD2392" s="52"/>
      <c r="AE2392" s="52"/>
      <c r="AF2392" s="52"/>
      <c r="AG2392" s="52"/>
      <c r="AH2392" s="52"/>
      <c r="AM2392" s="52"/>
      <c r="AN2392" s="52"/>
    </row>
    <row r="2393" spans="16:40" x14ac:dyDescent="0.2">
      <c r="P2393" s="52"/>
      <c r="Q2393" s="52"/>
      <c r="R2393" s="52"/>
      <c r="S2393" s="52"/>
      <c r="T2393" s="52"/>
      <c r="U2393" s="52"/>
      <c r="V2393" s="52"/>
      <c r="W2393" s="52"/>
      <c r="X2393" s="52"/>
      <c r="Y2393" s="52"/>
      <c r="Z2393" s="52"/>
      <c r="AA2393" s="52"/>
      <c r="AB2393" s="52"/>
      <c r="AC2393" s="52"/>
      <c r="AD2393" s="52"/>
      <c r="AE2393" s="52"/>
      <c r="AF2393" s="52"/>
      <c r="AG2393" s="52"/>
      <c r="AH2393" s="52"/>
      <c r="AM2393" s="52"/>
      <c r="AN2393" s="52"/>
    </row>
    <row r="2394" spans="16:40" x14ac:dyDescent="0.2">
      <c r="P2394" s="52"/>
      <c r="Q2394" s="52"/>
      <c r="R2394" s="52"/>
      <c r="S2394" s="52"/>
      <c r="T2394" s="52"/>
      <c r="U2394" s="52"/>
      <c r="V2394" s="52"/>
      <c r="W2394" s="52"/>
      <c r="X2394" s="52"/>
      <c r="Y2394" s="52"/>
      <c r="Z2394" s="52"/>
      <c r="AA2394" s="52"/>
      <c r="AB2394" s="52"/>
      <c r="AC2394" s="52"/>
      <c r="AD2394" s="52"/>
      <c r="AE2394" s="52"/>
      <c r="AF2394" s="52"/>
      <c r="AG2394" s="52"/>
      <c r="AH2394" s="52"/>
      <c r="AM2394" s="52"/>
      <c r="AN2394" s="52"/>
    </row>
    <row r="2395" spans="16:40" x14ac:dyDescent="0.2">
      <c r="P2395" s="52"/>
      <c r="Q2395" s="52"/>
      <c r="R2395" s="52"/>
      <c r="S2395" s="52"/>
      <c r="T2395" s="52"/>
      <c r="U2395" s="52"/>
      <c r="V2395" s="52"/>
      <c r="W2395" s="52"/>
      <c r="X2395" s="52"/>
      <c r="Y2395" s="52"/>
      <c r="Z2395" s="52"/>
      <c r="AA2395" s="52"/>
      <c r="AB2395" s="52"/>
      <c r="AC2395" s="52"/>
      <c r="AD2395" s="52"/>
      <c r="AE2395" s="52"/>
      <c r="AF2395" s="52"/>
      <c r="AG2395" s="52"/>
      <c r="AH2395" s="52"/>
      <c r="AM2395" s="52"/>
      <c r="AN2395" s="52"/>
    </row>
    <row r="2396" spans="16:40" x14ac:dyDescent="0.2">
      <c r="P2396" s="52"/>
      <c r="Q2396" s="52"/>
      <c r="R2396" s="52"/>
      <c r="S2396" s="52"/>
      <c r="T2396" s="52"/>
      <c r="U2396" s="52"/>
      <c r="V2396" s="52"/>
      <c r="W2396" s="52"/>
      <c r="X2396" s="52"/>
      <c r="Y2396" s="52"/>
      <c r="Z2396" s="52"/>
      <c r="AA2396" s="52"/>
      <c r="AB2396" s="52"/>
      <c r="AC2396" s="52"/>
      <c r="AD2396" s="52"/>
      <c r="AE2396" s="52"/>
      <c r="AF2396" s="52"/>
      <c r="AG2396" s="52"/>
      <c r="AH2396" s="52"/>
      <c r="AM2396" s="52"/>
      <c r="AN2396" s="52"/>
    </row>
    <row r="2397" spans="16:40" x14ac:dyDescent="0.2">
      <c r="P2397" s="52"/>
      <c r="Q2397" s="52"/>
      <c r="R2397" s="52"/>
      <c r="S2397" s="52"/>
      <c r="T2397" s="52"/>
      <c r="U2397" s="52"/>
      <c r="V2397" s="52"/>
      <c r="W2397" s="52"/>
      <c r="X2397" s="52"/>
      <c r="Y2397" s="52"/>
      <c r="Z2397" s="52"/>
      <c r="AA2397" s="52"/>
      <c r="AB2397" s="52"/>
      <c r="AC2397" s="52"/>
      <c r="AD2397" s="52"/>
      <c r="AE2397" s="52"/>
      <c r="AF2397" s="52"/>
      <c r="AG2397" s="52"/>
      <c r="AH2397" s="52"/>
      <c r="AM2397" s="52"/>
      <c r="AN2397" s="52"/>
    </row>
    <row r="2398" spans="16:40" x14ac:dyDescent="0.2">
      <c r="P2398" s="52"/>
      <c r="Q2398" s="52"/>
      <c r="R2398" s="52"/>
      <c r="S2398" s="52"/>
      <c r="T2398" s="52"/>
      <c r="U2398" s="52"/>
      <c r="V2398" s="52"/>
      <c r="W2398" s="52"/>
      <c r="X2398" s="52"/>
      <c r="Y2398" s="52"/>
      <c r="Z2398" s="52"/>
      <c r="AA2398" s="52"/>
      <c r="AB2398" s="52"/>
      <c r="AC2398" s="52"/>
      <c r="AD2398" s="52"/>
      <c r="AE2398" s="52"/>
      <c r="AF2398" s="52"/>
      <c r="AG2398" s="52"/>
      <c r="AH2398" s="52"/>
      <c r="AM2398" s="52"/>
      <c r="AN2398" s="52"/>
    </row>
    <row r="2399" spans="16:40" x14ac:dyDescent="0.2">
      <c r="P2399" s="52"/>
      <c r="Q2399" s="52"/>
      <c r="R2399" s="52"/>
      <c r="S2399" s="52"/>
      <c r="T2399" s="52"/>
      <c r="U2399" s="52"/>
      <c r="V2399" s="52"/>
      <c r="W2399" s="52"/>
      <c r="X2399" s="52"/>
      <c r="Y2399" s="52"/>
      <c r="Z2399" s="52"/>
      <c r="AA2399" s="52"/>
      <c r="AB2399" s="52"/>
      <c r="AC2399" s="52"/>
      <c r="AD2399" s="52"/>
      <c r="AE2399" s="52"/>
      <c r="AF2399" s="52"/>
      <c r="AG2399" s="52"/>
      <c r="AH2399" s="52"/>
      <c r="AM2399" s="52"/>
      <c r="AN2399" s="52"/>
    </row>
    <row r="2400" spans="16:40" x14ac:dyDescent="0.2">
      <c r="P2400" s="52"/>
      <c r="Q2400" s="52"/>
      <c r="R2400" s="52"/>
      <c r="S2400" s="52"/>
      <c r="T2400" s="52"/>
      <c r="U2400" s="52"/>
      <c r="V2400" s="52"/>
      <c r="W2400" s="52"/>
      <c r="X2400" s="52"/>
      <c r="Y2400" s="52"/>
      <c r="Z2400" s="52"/>
      <c r="AA2400" s="52"/>
      <c r="AB2400" s="52"/>
      <c r="AC2400" s="52"/>
      <c r="AD2400" s="52"/>
      <c r="AE2400" s="52"/>
      <c r="AF2400" s="52"/>
      <c r="AG2400" s="52"/>
      <c r="AH2400" s="52"/>
      <c r="AM2400" s="52"/>
      <c r="AN2400" s="52"/>
    </row>
    <row r="2401" spans="16:40" x14ac:dyDescent="0.2">
      <c r="P2401" s="52"/>
      <c r="Q2401" s="52"/>
      <c r="R2401" s="52"/>
      <c r="S2401" s="52"/>
      <c r="T2401" s="52"/>
      <c r="U2401" s="52"/>
      <c r="V2401" s="52"/>
      <c r="W2401" s="52"/>
      <c r="X2401" s="52"/>
      <c r="Y2401" s="52"/>
      <c r="Z2401" s="52"/>
      <c r="AA2401" s="52"/>
      <c r="AB2401" s="52"/>
      <c r="AC2401" s="52"/>
      <c r="AD2401" s="52"/>
      <c r="AE2401" s="52"/>
      <c r="AF2401" s="52"/>
      <c r="AG2401" s="52"/>
      <c r="AH2401" s="52"/>
      <c r="AM2401" s="52"/>
      <c r="AN2401" s="52"/>
    </row>
    <row r="2402" spans="16:40" x14ac:dyDescent="0.2">
      <c r="P2402" s="52"/>
      <c r="Q2402" s="52"/>
      <c r="R2402" s="52"/>
      <c r="S2402" s="52"/>
      <c r="T2402" s="52"/>
      <c r="U2402" s="52"/>
      <c r="V2402" s="52"/>
      <c r="W2402" s="52"/>
      <c r="X2402" s="52"/>
      <c r="Y2402" s="52"/>
      <c r="Z2402" s="52"/>
      <c r="AA2402" s="52"/>
      <c r="AB2402" s="52"/>
      <c r="AC2402" s="52"/>
      <c r="AD2402" s="52"/>
      <c r="AE2402" s="52"/>
      <c r="AF2402" s="52"/>
      <c r="AG2402" s="52"/>
      <c r="AH2402" s="52"/>
      <c r="AM2402" s="52"/>
      <c r="AN2402" s="52"/>
    </row>
    <row r="2403" spans="16:40" x14ac:dyDescent="0.2">
      <c r="P2403" s="52"/>
      <c r="Q2403" s="52"/>
      <c r="R2403" s="52"/>
      <c r="S2403" s="52"/>
      <c r="T2403" s="52"/>
      <c r="U2403" s="52"/>
      <c r="V2403" s="52"/>
      <c r="W2403" s="52"/>
      <c r="X2403" s="52"/>
      <c r="Y2403" s="52"/>
      <c r="Z2403" s="52"/>
      <c r="AA2403" s="52"/>
      <c r="AB2403" s="52"/>
      <c r="AC2403" s="52"/>
      <c r="AD2403" s="52"/>
      <c r="AE2403" s="52"/>
      <c r="AF2403" s="52"/>
      <c r="AG2403" s="52"/>
      <c r="AH2403" s="52"/>
      <c r="AM2403" s="52"/>
      <c r="AN2403" s="52"/>
    </row>
    <row r="2404" spans="16:40" x14ac:dyDescent="0.2">
      <c r="P2404" s="52"/>
      <c r="Q2404" s="52"/>
      <c r="R2404" s="52"/>
      <c r="S2404" s="52"/>
      <c r="T2404" s="52"/>
      <c r="U2404" s="52"/>
      <c r="V2404" s="52"/>
      <c r="W2404" s="52"/>
      <c r="X2404" s="52"/>
      <c r="Y2404" s="52"/>
      <c r="Z2404" s="52"/>
      <c r="AA2404" s="52"/>
      <c r="AB2404" s="52"/>
      <c r="AC2404" s="52"/>
      <c r="AD2404" s="52"/>
      <c r="AE2404" s="52"/>
      <c r="AF2404" s="52"/>
      <c r="AG2404" s="52"/>
      <c r="AH2404" s="52"/>
      <c r="AM2404" s="52"/>
      <c r="AN2404" s="52"/>
    </row>
    <row r="2405" spans="16:40" x14ac:dyDescent="0.2">
      <c r="P2405" s="52"/>
      <c r="Q2405" s="52"/>
      <c r="R2405" s="52"/>
      <c r="S2405" s="52"/>
      <c r="T2405" s="52"/>
      <c r="U2405" s="52"/>
      <c r="V2405" s="52"/>
      <c r="W2405" s="52"/>
      <c r="X2405" s="52"/>
      <c r="Y2405" s="52"/>
      <c r="Z2405" s="52"/>
      <c r="AA2405" s="52"/>
      <c r="AB2405" s="52"/>
      <c r="AC2405" s="52"/>
      <c r="AD2405" s="52"/>
      <c r="AE2405" s="52"/>
      <c r="AF2405" s="52"/>
      <c r="AG2405" s="52"/>
      <c r="AH2405" s="52"/>
      <c r="AM2405" s="52"/>
      <c r="AN2405" s="52"/>
    </row>
    <row r="2406" spans="16:40" x14ac:dyDescent="0.2">
      <c r="P2406" s="52"/>
      <c r="Q2406" s="52"/>
      <c r="R2406" s="52"/>
      <c r="S2406" s="52"/>
      <c r="T2406" s="52"/>
      <c r="U2406" s="52"/>
      <c r="V2406" s="52"/>
      <c r="W2406" s="52"/>
      <c r="X2406" s="52"/>
      <c r="Y2406" s="52"/>
      <c r="Z2406" s="52"/>
      <c r="AA2406" s="52"/>
      <c r="AB2406" s="52"/>
      <c r="AC2406" s="52"/>
      <c r="AD2406" s="52"/>
      <c r="AE2406" s="52"/>
      <c r="AF2406" s="52"/>
      <c r="AG2406" s="52"/>
      <c r="AH2406" s="52"/>
      <c r="AM2406" s="52"/>
      <c r="AN2406" s="52"/>
    </row>
    <row r="2407" spans="16:40" x14ac:dyDescent="0.2">
      <c r="P2407" s="52"/>
      <c r="Q2407" s="52"/>
      <c r="R2407" s="52"/>
      <c r="S2407" s="52"/>
      <c r="T2407" s="52"/>
      <c r="U2407" s="52"/>
      <c r="V2407" s="52"/>
      <c r="W2407" s="52"/>
      <c r="X2407" s="52"/>
      <c r="Y2407" s="52"/>
      <c r="Z2407" s="52"/>
      <c r="AA2407" s="52"/>
      <c r="AB2407" s="52"/>
      <c r="AC2407" s="52"/>
      <c r="AD2407" s="52"/>
      <c r="AE2407" s="52"/>
      <c r="AF2407" s="52"/>
      <c r="AG2407" s="52"/>
      <c r="AH2407" s="52"/>
      <c r="AM2407" s="52"/>
      <c r="AN2407" s="52"/>
    </row>
    <row r="2408" spans="16:40" x14ac:dyDescent="0.2">
      <c r="P2408" s="52"/>
      <c r="Q2408" s="52"/>
      <c r="R2408" s="52"/>
      <c r="S2408" s="52"/>
      <c r="T2408" s="52"/>
      <c r="U2408" s="52"/>
      <c r="V2408" s="52"/>
      <c r="W2408" s="52"/>
      <c r="X2408" s="52"/>
      <c r="Y2408" s="52"/>
      <c r="Z2408" s="52"/>
      <c r="AA2408" s="52"/>
      <c r="AB2408" s="52"/>
      <c r="AC2408" s="52"/>
      <c r="AD2408" s="52"/>
      <c r="AE2408" s="52"/>
      <c r="AF2408" s="52"/>
      <c r="AG2408" s="52"/>
      <c r="AH2408" s="52"/>
      <c r="AM2408" s="52"/>
      <c r="AN2408" s="52"/>
    </row>
    <row r="2409" spans="16:40" x14ac:dyDescent="0.2">
      <c r="P2409" s="52"/>
      <c r="Q2409" s="52"/>
      <c r="R2409" s="52"/>
      <c r="S2409" s="52"/>
      <c r="T2409" s="52"/>
      <c r="U2409" s="52"/>
      <c r="V2409" s="52"/>
      <c r="W2409" s="52"/>
      <c r="X2409" s="52"/>
      <c r="Y2409" s="52"/>
      <c r="Z2409" s="52"/>
      <c r="AA2409" s="52"/>
      <c r="AB2409" s="52"/>
      <c r="AC2409" s="52"/>
      <c r="AD2409" s="52"/>
      <c r="AE2409" s="52"/>
      <c r="AF2409" s="52"/>
      <c r="AG2409" s="52"/>
      <c r="AH2409" s="52"/>
      <c r="AM2409" s="52"/>
      <c r="AN2409" s="52"/>
    </row>
    <row r="2410" spans="16:40" x14ac:dyDescent="0.2">
      <c r="P2410" s="52"/>
      <c r="Q2410" s="52"/>
      <c r="R2410" s="52"/>
      <c r="S2410" s="52"/>
      <c r="T2410" s="52"/>
      <c r="U2410" s="52"/>
      <c r="V2410" s="52"/>
      <c r="W2410" s="52"/>
      <c r="X2410" s="52"/>
      <c r="Y2410" s="52"/>
      <c r="Z2410" s="52"/>
      <c r="AA2410" s="52"/>
      <c r="AB2410" s="52"/>
      <c r="AC2410" s="52"/>
      <c r="AD2410" s="52"/>
      <c r="AE2410" s="52"/>
      <c r="AF2410" s="52"/>
      <c r="AG2410" s="52"/>
      <c r="AH2410" s="52"/>
      <c r="AM2410" s="52"/>
      <c r="AN2410" s="52"/>
    </row>
    <row r="2411" spans="16:40" x14ac:dyDescent="0.2">
      <c r="P2411" s="52"/>
      <c r="Q2411" s="52"/>
      <c r="R2411" s="52"/>
      <c r="S2411" s="52"/>
      <c r="T2411" s="52"/>
      <c r="U2411" s="52"/>
      <c r="V2411" s="52"/>
      <c r="W2411" s="52"/>
      <c r="X2411" s="52"/>
      <c r="Y2411" s="52"/>
      <c r="Z2411" s="52"/>
      <c r="AA2411" s="52"/>
      <c r="AB2411" s="52"/>
      <c r="AC2411" s="52"/>
      <c r="AD2411" s="52"/>
      <c r="AE2411" s="52"/>
      <c r="AF2411" s="52"/>
      <c r="AG2411" s="52"/>
      <c r="AH2411" s="52"/>
      <c r="AM2411" s="52"/>
      <c r="AN2411" s="52"/>
    </row>
    <row r="2412" spans="16:40" x14ac:dyDescent="0.2">
      <c r="P2412" s="52"/>
      <c r="Q2412" s="52"/>
      <c r="R2412" s="52"/>
      <c r="S2412" s="52"/>
      <c r="T2412" s="52"/>
      <c r="U2412" s="52"/>
      <c r="V2412" s="52"/>
      <c r="W2412" s="52"/>
      <c r="X2412" s="52"/>
      <c r="Y2412" s="52"/>
      <c r="Z2412" s="52"/>
      <c r="AA2412" s="52"/>
      <c r="AB2412" s="52"/>
      <c r="AC2412" s="52"/>
      <c r="AD2412" s="52"/>
      <c r="AE2412" s="52"/>
      <c r="AF2412" s="52"/>
      <c r="AG2412" s="52"/>
      <c r="AH2412" s="52"/>
      <c r="AM2412" s="52"/>
      <c r="AN2412" s="52"/>
    </row>
    <row r="2413" spans="16:40" x14ac:dyDescent="0.2">
      <c r="P2413" s="52"/>
      <c r="Q2413" s="52"/>
      <c r="R2413" s="52"/>
      <c r="S2413" s="52"/>
      <c r="T2413" s="52"/>
      <c r="U2413" s="52"/>
      <c r="V2413" s="52"/>
      <c r="W2413" s="52"/>
      <c r="X2413" s="52"/>
      <c r="Y2413" s="52"/>
      <c r="Z2413" s="52"/>
      <c r="AA2413" s="52"/>
      <c r="AB2413" s="52"/>
      <c r="AC2413" s="52"/>
      <c r="AD2413" s="52"/>
      <c r="AE2413" s="52"/>
      <c r="AF2413" s="52"/>
      <c r="AG2413" s="52"/>
      <c r="AH2413" s="52"/>
      <c r="AM2413" s="52"/>
      <c r="AN2413" s="52"/>
    </row>
    <row r="2414" spans="16:40" x14ac:dyDescent="0.2">
      <c r="P2414" s="52"/>
      <c r="Q2414" s="52"/>
      <c r="R2414" s="52"/>
      <c r="S2414" s="52"/>
      <c r="T2414" s="52"/>
      <c r="U2414" s="52"/>
      <c r="V2414" s="52"/>
      <c r="W2414" s="52"/>
      <c r="X2414" s="52"/>
      <c r="Y2414" s="52"/>
      <c r="Z2414" s="52"/>
      <c r="AA2414" s="52"/>
      <c r="AB2414" s="52"/>
      <c r="AC2414" s="52"/>
      <c r="AD2414" s="52"/>
      <c r="AE2414" s="52"/>
      <c r="AF2414" s="52"/>
      <c r="AG2414" s="52"/>
      <c r="AH2414" s="52"/>
      <c r="AM2414" s="52"/>
      <c r="AN2414" s="52"/>
    </row>
    <row r="2415" spans="16:40" x14ac:dyDescent="0.2">
      <c r="P2415" s="52"/>
      <c r="Q2415" s="52"/>
      <c r="R2415" s="52"/>
      <c r="S2415" s="52"/>
      <c r="T2415" s="52"/>
      <c r="U2415" s="52"/>
      <c r="V2415" s="52"/>
      <c r="W2415" s="52"/>
      <c r="X2415" s="52"/>
      <c r="Y2415" s="52"/>
      <c r="Z2415" s="52"/>
      <c r="AA2415" s="52"/>
      <c r="AB2415" s="52"/>
      <c r="AC2415" s="52"/>
      <c r="AD2415" s="52"/>
      <c r="AE2415" s="52"/>
      <c r="AF2415" s="52"/>
      <c r="AG2415" s="52"/>
      <c r="AH2415" s="52"/>
      <c r="AM2415" s="52"/>
      <c r="AN2415" s="52"/>
    </row>
    <row r="2416" spans="16:40" x14ac:dyDescent="0.2"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2"/>
      <c r="AA2416" s="52"/>
      <c r="AB2416" s="52"/>
      <c r="AC2416" s="52"/>
      <c r="AD2416" s="52"/>
      <c r="AE2416" s="52"/>
      <c r="AF2416" s="52"/>
      <c r="AG2416" s="52"/>
      <c r="AH2416" s="52"/>
      <c r="AM2416" s="52"/>
      <c r="AN2416" s="52"/>
    </row>
    <row r="2417" spans="16:40" x14ac:dyDescent="0.2">
      <c r="P2417" s="52"/>
      <c r="Q2417" s="52"/>
      <c r="R2417" s="52"/>
      <c r="S2417" s="52"/>
      <c r="T2417" s="52"/>
      <c r="U2417" s="52"/>
      <c r="V2417" s="52"/>
      <c r="W2417" s="52"/>
      <c r="X2417" s="52"/>
      <c r="Y2417" s="52"/>
      <c r="Z2417" s="52"/>
      <c r="AA2417" s="52"/>
      <c r="AB2417" s="52"/>
      <c r="AC2417" s="52"/>
      <c r="AD2417" s="52"/>
      <c r="AE2417" s="52"/>
      <c r="AF2417" s="52"/>
      <c r="AG2417" s="52"/>
      <c r="AH2417" s="52"/>
      <c r="AM2417" s="52"/>
      <c r="AN2417" s="52"/>
    </row>
    <row r="2418" spans="16:40" x14ac:dyDescent="0.2">
      <c r="P2418" s="52"/>
      <c r="Q2418" s="52"/>
      <c r="R2418" s="52"/>
      <c r="S2418" s="52"/>
      <c r="T2418" s="52"/>
      <c r="U2418" s="52"/>
      <c r="V2418" s="52"/>
      <c r="W2418" s="52"/>
      <c r="X2418" s="52"/>
      <c r="Y2418" s="52"/>
      <c r="Z2418" s="52"/>
      <c r="AA2418" s="52"/>
      <c r="AB2418" s="52"/>
      <c r="AC2418" s="52"/>
      <c r="AD2418" s="52"/>
      <c r="AE2418" s="52"/>
      <c r="AF2418" s="52"/>
      <c r="AG2418" s="52"/>
      <c r="AH2418" s="52"/>
      <c r="AM2418" s="52"/>
      <c r="AN2418" s="52"/>
    </row>
    <row r="2419" spans="16:40" x14ac:dyDescent="0.2">
      <c r="P2419" s="52"/>
      <c r="Q2419" s="52"/>
      <c r="R2419" s="52"/>
      <c r="S2419" s="52"/>
      <c r="T2419" s="52"/>
      <c r="U2419" s="52"/>
      <c r="V2419" s="52"/>
      <c r="W2419" s="52"/>
      <c r="X2419" s="52"/>
      <c r="Y2419" s="52"/>
      <c r="Z2419" s="52"/>
      <c r="AA2419" s="52"/>
      <c r="AB2419" s="52"/>
      <c r="AC2419" s="52"/>
      <c r="AD2419" s="52"/>
      <c r="AE2419" s="52"/>
      <c r="AF2419" s="52"/>
      <c r="AG2419" s="52"/>
      <c r="AH2419" s="52"/>
      <c r="AM2419" s="52"/>
      <c r="AN2419" s="52"/>
    </row>
    <row r="2420" spans="16:40" x14ac:dyDescent="0.2">
      <c r="P2420" s="52"/>
      <c r="Q2420" s="52"/>
      <c r="R2420" s="52"/>
      <c r="S2420" s="52"/>
      <c r="T2420" s="52"/>
      <c r="U2420" s="52"/>
      <c r="V2420" s="52"/>
      <c r="W2420" s="52"/>
      <c r="X2420" s="52"/>
      <c r="Y2420" s="52"/>
      <c r="Z2420" s="52"/>
      <c r="AA2420" s="52"/>
      <c r="AB2420" s="52"/>
      <c r="AC2420" s="52"/>
      <c r="AD2420" s="52"/>
      <c r="AE2420" s="52"/>
      <c r="AF2420" s="52"/>
      <c r="AG2420" s="52"/>
      <c r="AH2420" s="52"/>
      <c r="AM2420" s="52"/>
      <c r="AN2420" s="52"/>
    </row>
    <row r="2421" spans="16:40" x14ac:dyDescent="0.2">
      <c r="P2421" s="52"/>
      <c r="Q2421" s="52"/>
      <c r="R2421" s="52"/>
      <c r="S2421" s="52"/>
      <c r="T2421" s="52"/>
      <c r="U2421" s="52"/>
      <c r="V2421" s="52"/>
      <c r="W2421" s="52"/>
      <c r="X2421" s="52"/>
      <c r="Y2421" s="52"/>
      <c r="Z2421" s="52"/>
      <c r="AA2421" s="52"/>
      <c r="AB2421" s="52"/>
      <c r="AC2421" s="52"/>
      <c r="AD2421" s="52"/>
      <c r="AE2421" s="52"/>
      <c r="AF2421" s="52"/>
      <c r="AG2421" s="52"/>
      <c r="AH2421" s="52"/>
      <c r="AM2421" s="52"/>
      <c r="AN2421" s="52"/>
    </row>
    <row r="2422" spans="16:40" x14ac:dyDescent="0.2">
      <c r="P2422" s="52"/>
      <c r="Q2422" s="52"/>
      <c r="R2422" s="52"/>
      <c r="S2422" s="52"/>
      <c r="T2422" s="52"/>
      <c r="U2422" s="52"/>
      <c r="V2422" s="52"/>
      <c r="W2422" s="52"/>
      <c r="X2422" s="52"/>
      <c r="Y2422" s="52"/>
      <c r="Z2422" s="52"/>
      <c r="AA2422" s="52"/>
      <c r="AB2422" s="52"/>
      <c r="AC2422" s="52"/>
      <c r="AD2422" s="52"/>
      <c r="AE2422" s="52"/>
      <c r="AF2422" s="52"/>
      <c r="AG2422" s="52"/>
      <c r="AH2422" s="52"/>
      <c r="AM2422" s="52"/>
      <c r="AN2422" s="52"/>
    </row>
    <row r="2423" spans="16:40" x14ac:dyDescent="0.2">
      <c r="P2423" s="52"/>
      <c r="Q2423" s="52"/>
      <c r="R2423" s="52"/>
      <c r="S2423" s="52"/>
      <c r="T2423" s="52"/>
      <c r="U2423" s="52"/>
      <c r="V2423" s="52"/>
      <c r="W2423" s="52"/>
      <c r="X2423" s="52"/>
      <c r="Y2423" s="52"/>
      <c r="Z2423" s="52"/>
      <c r="AA2423" s="52"/>
      <c r="AB2423" s="52"/>
      <c r="AC2423" s="52"/>
      <c r="AD2423" s="52"/>
      <c r="AE2423" s="52"/>
      <c r="AF2423" s="52"/>
      <c r="AG2423" s="52"/>
      <c r="AH2423" s="52"/>
      <c r="AM2423" s="52"/>
      <c r="AN2423" s="52"/>
    </row>
    <row r="2424" spans="16:40" x14ac:dyDescent="0.2">
      <c r="P2424" s="52"/>
      <c r="Q2424" s="52"/>
      <c r="R2424" s="52"/>
      <c r="S2424" s="52"/>
      <c r="T2424" s="52"/>
      <c r="U2424" s="52"/>
      <c r="V2424" s="52"/>
      <c r="W2424" s="52"/>
      <c r="X2424" s="52"/>
      <c r="Y2424" s="52"/>
      <c r="Z2424" s="52"/>
      <c r="AA2424" s="52"/>
      <c r="AB2424" s="52"/>
      <c r="AC2424" s="52"/>
      <c r="AD2424" s="52"/>
      <c r="AE2424" s="52"/>
      <c r="AF2424" s="52"/>
      <c r="AG2424" s="52"/>
      <c r="AH2424" s="52"/>
      <c r="AM2424" s="52"/>
      <c r="AN2424" s="52"/>
    </row>
    <row r="2425" spans="16:40" x14ac:dyDescent="0.2">
      <c r="P2425" s="52"/>
      <c r="Q2425" s="52"/>
      <c r="R2425" s="52"/>
      <c r="S2425" s="52"/>
      <c r="T2425" s="52"/>
      <c r="U2425" s="52"/>
      <c r="V2425" s="52"/>
      <c r="W2425" s="52"/>
      <c r="X2425" s="52"/>
      <c r="Y2425" s="52"/>
      <c r="Z2425" s="52"/>
      <c r="AA2425" s="52"/>
      <c r="AB2425" s="52"/>
      <c r="AC2425" s="52"/>
      <c r="AD2425" s="52"/>
      <c r="AE2425" s="52"/>
      <c r="AF2425" s="52"/>
      <c r="AG2425" s="52"/>
      <c r="AH2425" s="52"/>
      <c r="AM2425" s="52"/>
      <c r="AN2425" s="52"/>
    </row>
    <row r="2426" spans="16:40" x14ac:dyDescent="0.2">
      <c r="P2426" s="52"/>
      <c r="Q2426" s="52"/>
      <c r="R2426" s="52"/>
      <c r="S2426" s="52"/>
      <c r="T2426" s="52"/>
      <c r="U2426" s="52"/>
      <c r="V2426" s="52"/>
      <c r="W2426" s="52"/>
      <c r="X2426" s="52"/>
      <c r="Y2426" s="52"/>
      <c r="Z2426" s="52"/>
      <c r="AA2426" s="52"/>
      <c r="AB2426" s="52"/>
      <c r="AC2426" s="52"/>
      <c r="AD2426" s="52"/>
      <c r="AE2426" s="52"/>
      <c r="AF2426" s="52"/>
      <c r="AG2426" s="52"/>
      <c r="AH2426" s="52"/>
      <c r="AM2426" s="52"/>
      <c r="AN2426" s="52"/>
    </row>
    <row r="2427" spans="16:40" x14ac:dyDescent="0.2">
      <c r="P2427" s="52"/>
      <c r="Q2427" s="52"/>
      <c r="R2427" s="52"/>
      <c r="S2427" s="52"/>
      <c r="T2427" s="52"/>
      <c r="U2427" s="52"/>
      <c r="V2427" s="52"/>
      <c r="W2427" s="52"/>
      <c r="X2427" s="52"/>
      <c r="Y2427" s="52"/>
      <c r="Z2427" s="52"/>
      <c r="AA2427" s="52"/>
      <c r="AB2427" s="52"/>
      <c r="AC2427" s="52"/>
      <c r="AD2427" s="52"/>
      <c r="AE2427" s="52"/>
      <c r="AF2427" s="52"/>
      <c r="AG2427" s="52"/>
      <c r="AH2427" s="52"/>
      <c r="AM2427" s="52"/>
      <c r="AN2427" s="52"/>
    </row>
    <row r="2428" spans="16:40" x14ac:dyDescent="0.2">
      <c r="P2428" s="52"/>
      <c r="Q2428" s="52"/>
      <c r="R2428" s="52"/>
      <c r="S2428" s="52"/>
      <c r="T2428" s="52"/>
      <c r="U2428" s="52"/>
      <c r="V2428" s="52"/>
      <c r="W2428" s="52"/>
      <c r="X2428" s="52"/>
      <c r="Y2428" s="52"/>
      <c r="Z2428" s="52"/>
      <c r="AA2428" s="52"/>
      <c r="AB2428" s="52"/>
      <c r="AC2428" s="52"/>
      <c r="AD2428" s="52"/>
      <c r="AE2428" s="52"/>
      <c r="AF2428" s="52"/>
      <c r="AG2428" s="52"/>
      <c r="AH2428" s="52"/>
      <c r="AM2428" s="52"/>
      <c r="AN2428" s="52"/>
    </row>
    <row r="2429" spans="16:40" x14ac:dyDescent="0.2">
      <c r="P2429" s="52"/>
      <c r="Q2429" s="52"/>
      <c r="R2429" s="52"/>
      <c r="S2429" s="52"/>
      <c r="T2429" s="52"/>
      <c r="U2429" s="52"/>
      <c r="V2429" s="52"/>
      <c r="W2429" s="52"/>
      <c r="X2429" s="52"/>
      <c r="Y2429" s="52"/>
      <c r="Z2429" s="52"/>
      <c r="AA2429" s="52"/>
      <c r="AB2429" s="52"/>
      <c r="AC2429" s="52"/>
      <c r="AD2429" s="52"/>
      <c r="AE2429" s="52"/>
      <c r="AF2429" s="52"/>
      <c r="AG2429" s="52"/>
      <c r="AH2429" s="52"/>
      <c r="AM2429" s="52"/>
      <c r="AN2429" s="52"/>
    </row>
    <row r="2430" spans="16:40" x14ac:dyDescent="0.2">
      <c r="P2430" s="52"/>
      <c r="Q2430" s="52"/>
      <c r="R2430" s="52"/>
      <c r="S2430" s="52"/>
      <c r="T2430" s="52"/>
      <c r="U2430" s="52"/>
      <c r="V2430" s="52"/>
      <c r="W2430" s="52"/>
      <c r="X2430" s="52"/>
      <c r="Y2430" s="52"/>
      <c r="Z2430" s="52"/>
      <c r="AA2430" s="52"/>
      <c r="AB2430" s="52"/>
      <c r="AC2430" s="52"/>
      <c r="AD2430" s="52"/>
      <c r="AE2430" s="52"/>
      <c r="AF2430" s="52"/>
      <c r="AG2430" s="52"/>
      <c r="AH2430" s="52"/>
      <c r="AM2430" s="52"/>
      <c r="AN2430" s="52"/>
    </row>
    <row r="2431" spans="16:40" x14ac:dyDescent="0.2">
      <c r="P2431" s="52"/>
      <c r="Q2431" s="52"/>
      <c r="R2431" s="52"/>
      <c r="S2431" s="52"/>
      <c r="T2431" s="52"/>
      <c r="U2431" s="52"/>
      <c r="V2431" s="52"/>
      <c r="W2431" s="52"/>
      <c r="X2431" s="52"/>
      <c r="Y2431" s="52"/>
      <c r="Z2431" s="52"/>
      <c r="AA2431" s="52"/>
      <c r="AB2431" s="52"/>
      <c r="AC2431" s="52"/>
      <c r="AD2431" s="52"/>
      <c r="AE2431" s="52"/>
      <c r="AF2431" s="52"/>
      <c r="AG2431" s="52"/>
      <c r="AH2431" s="52"/>
      <c r="AM2431" s="52"/>
      <c r="AN2431" s="52"/>
    </row>
    <row r="2432" spans="16:40" x14ac:dyDescent="0.2">
      <c r="P2432" s="52"/>
      <c r="Q2432" s="52"/>
      <c r="R2432" s="52"/>
      <c r="S2432" s="52"/>
      <c r="T2432" s="52"/>
      <c r="U2432" s="52"/>
      <c r="V2432" s="52"/>
      <c r="W2432" s="52"/>
      <c r="X2432" s="52"/>
      <c r="Y2432" s="52"/>
      <c r="Z2432" s="52"/>
      <c r="AA2432" s="52"/>
      <c r="AB2432" s="52"/>
      <c r="AC2432" s="52"/>
      <c r="AD2432" s="52"/>
      <c r="AE2432" s="52"/>
      <c r="AF2432" s="52"/>
      <c r="AG2432" s="52"/>
      <c r="AH2432" s="52"/>
      <c r="AM2432" s="52"/>
      <c r="AN2432" s="52"/>
    </row>
    <row r="2433" spans="16:40" x14ac:dyDescent="0.2">
      <c r="P2433" s="52"/>
      <c r="Q2433" s="52"/>
      <c r="R2433" s="52"/>
      <c r="S2433" s="52"/>
      <c r="T2433" s="52"/>
      <c r="U2433" s="52"/>
      <c r="V2433" s="52"/>
      <c r="W2433" s="52"/>
      <c r="X2433" s="52"/>
      <c r="Y2433" s="52"/>
      <c r="Z2433" s="52"/>
      <c r="AA2433" s="52"/>
      <c r="AB2433" s="52"/>
      <c r="AC2433" s="52"/>
      <c r="AD2433" s="52"/>
      <c r="AE2433" s="52"/>
      <c r="AF2433" s="52"/>
      <c r="AG2433" s="52"/>
      <c r="AH2433" s="52"/>
      <c r="AM2433" s="52"/>
      <c r="AN2433" s="52"/>
    </row>
    <row r="2434" spans="16:40" x14ac:dyDescent="0.2">
      <c r="P2434" s="52"/>
      <c r="Q2434" s="52"/>
      <c r="R2434" s="52"/>
      <c r="S2434" s="52"/>
      <c r="T2434" s="52"/>
      <c r="U2434" s="52"/>
      <c r="V2434" s="52"/>
      <c r="W2434" s="52"/>
      <c r="X2434" s="52"/>
      <c r="Y2434" s="52"/>
      <c r="Z2434" s="52"/>
      <c r="AA2434" s="52"/>
      <c r="AB2434" s="52"/>
      <c r="AC2434" s="52"/>
      <c r="AD2434" s="52"/>
      <c r="AE2434" s="52"/>
      <c r="AF2434" s="52"/>
      <c r="AG2434" s="52"/>
      <c r="AH2434" s="52"/>
      <c r="AM2434" s="52"/>
      <c r="AN2434" s="52"/>
    </row>
    <row r="2435" spans="16:40" x14ac:dyDescent="0.2">
      <c r="P2435" s="52"/>
      <c r="Q2435" s="52"/>
      <c r="R2435" s="52"/>
      <c r="S2435" s="52"/>
      <c r="T2435" s="52"/>
      <c r="U2435" s="52"/>
      <c r="V2435" s="52"/>
      <c r="W2435" s="52"/>
      <c r="X2435" s="52"/>
      <c r="Y2435" s="52"/>
      <c r="Z2435" s="52"/>
      <c r="AA2435" s="52"/>
      <c r="AB2435" s="52"/>
      <c r="AC2435" s="52"/>
      <c r="AD2435" s="52"/>
      <c r="AE2435" s="52"/>
      <c r="AF2435" s="52"/>
      <c r="AG2435" s="52"/>
      <c r="AH2435" s="52"/>
      <c r="AM2435" s="52"/>
      <c r="AN2435" s="52"/>
    </row>
    <row r="2436" spans="16:40" x14ac:dyDescent="0.2">
      <c r="P2436" s="52"/>
      <c r="Q2436" s="52"/>
      <c r="R2436" s="52"/>
      <c r="S2436" s="52"/>
      <c r="T2436" s="52"/>
      <c r="U2436" s="52"/>
      <c r="V2436" s="52"/>
      <c r="W2436" s="52"/>
      <c r="X2436" s="52"/>
      <c r="Y2436" s="52"/>
      <c r="Z2436" s="52"/>
      <c r="AA2436" s="52"/>
      <c r="AB2436" s="52"/>
      <c r="AC2436" s="52"/>
      <c r="AD2436" s="52"/>
      <c r="AE2436" s="52"/>
      <c r="AF2436" s="52"/>
      <c r="AG2436" s="52"/>
      <c r="AH2436" s="52"/>
      <c r="AM2436" s="52"/>
      <c r="AN2436" s="52"/>
    </row>
    <row r="2437" spans="16:40" x14ac:dyDescent="0.2">
      <c r="P2437" s="52"/>
      <c r="Q2437" s="52"/>
      <c r="R2437" s="52"/>
      <c r="S2437" s="52"/>
      <c r="T2437" s="52"/>
      <c r="U2437" s="52"/>
      <c r="V2437" s="52"/>
      <c r="W2437" s="52"/>
      <c r="X2437" s="52"/>
      <c r="Y2437" s="52"/>
      <c r="Z2437" s="52"/>
      <c r="AA2437" s="52"/>
      <c r="AB2437" s="52"/>
      <c r="AC2437" s="52"/>
      <c r="AD2437" s="52"/>
      <c r="AE2437" s="52"/>
      <c r="AF2437" s="52"/>
      <c r="AG2437" s="52"/>
      <c r="AH2437" s="52"/>
      <c r="AM2437" s="52"/>
      <c r="AN2437" s="52"/>
    </row>
    <row r="2438" spans="16:40" x14ac:dyDescent="0.2">
      <c r="P2438" s="52"/>
      <c r="Q2438" s="52"/>
      <c r="R2438" s="52"/>
      <c r="S2438" s="52"/>
      <c r="T2438" s="52"/>
      <c r="U2438" s="52"/>
      <c r="V2438" s="52"/>
      <c r="W2438" s="52"/>
      <c r="X2438" s="52"/>
      <c r="Y2438" s="52"/>
      <c r="Z2438" s="52"/>
      <c r="AA2438" s="52"/>
      <c r="AB2438" s="52"/>
      <c r="AC2438" s="52"/>
      <c r="AD2438" s="52"/>
      <c r="AE2438" s="52"/>
      <c r="AF2438" s="52"/>
      <c r="AG2438" s="52"/>
      <c r="AH2438" s="52"/>
      <c r="AM2438" s="52"/>
      <c r="AN2438" s="52"/>
    </row>
    <row r="2439" spans="16:40" x14ac:dyDescent="0.2">
      <c r="P2439" s="52"/>
      <c r="Q2439" s="52"/>
      <c r="R2439" s="52"/>
      <c r="S2439" s="52"/>
      <c r="T2439" s="52"/>
      <c r="U2439" s="52"/>
      <c r="V2439" s="52"/>
      <c r="W2439" s="52"/>
      <c r="X2439" s="52"/>
      <c r="Y2439" s="52"/>
      <c r="Z2439" s="52"/>
      <c r="AA2439" s="52"/>
      <c r="AB2439" s="52"/>
      <c r="AC2439" s="52"/>
      <c r="AD2439" s="52"/>
      <c r="AE2439" s="52"/>
      <c r="AF2439" s="52"/>
      <c r="AG2439" s="52"/>
      <c r="AH2439" s="52"/>
      <c r="AM2439" s="52"/>
      <c r="AN2439" s="52"/>
    </row>
    <row r="2440" spans="16:40" x14ac:dyDescent="0.2">
      <c r="P2440" s="52"/>
      <c r="Q2440" s="52"/>
      <c r="R2440" s="52"/>
      <c r="S2440" s="52"/>
      <c r="T2440" s="52"/>
      <c r="U2440" s="52"/>
      <c r="V2440" s="52"/>
      <c r="W2440" s="52"/>
      <c r="X2440" s="52"/>
      <c r="Y2440" s="52"/>
      <c r="Z2440" s="52"/>
      <c r="AA2440" s="52"/>
      <c r="AB2440" s="52"/>
      <c r="AC2440" s="52"/>
      <c r="AD2440" s="52"/>
      <c r="AE2440" s="52"/>
      <c r="AF2440" s="52"/>
      <c r="AG2440" s="52"/>
      <c r="AH2440" s="52"/>
      <c r="AM2440" s="52"/>
      <c r="AN2440" s="52"/>
    </row>
    <row r="2441" spans="16:40" x14ac:dyDescent="0.2">
      <c r="P2441" s="52"/>
      <c r="Q2441" s="52"/>
      <c r="R2441" s="52"/>
      <c r="S2441" s="52"/>
      <c r="T2441" s="52"/>
      <c r="U2441" s="52"/>
      <c r="V2441" s="52"/>
      <c r="W2441" s="52"/>
      <c r="X2441" s="52"/>
      <c r="Y2441" s="52"/>
      <c r="Z2441" s="52"/>
      <c r="AA2441" s="52"/>
      <c r="AB2441" s="52"/>
      <c r="AC2441" s="52"/>
      <c r="AD2441" s="52"/>
      <c r="AE2441" s="52"/>
      <c r="AF2441" s="52"/>
      <c r="AG2441" s="52"/>
      <c r="AH2441" s="52"/>
      <c r="AM2441" s="52"/>
      <c r="AN2441" s="52"/>
    </row>
    <row r="2442" spans="16:40" x14ac:dyDescent="0.2">
      <c r="P2442" s="52"/>
      <c r="Q2442" s="52"/>
      <c r="R2442" s="52"/>
      <c r="S2442" s="52"/>
      <c r="T2442" s="52"/>
      <c r="U2442" s="52"/>
      <c r="V2442" s="52"/>
      <c r="W2442" s="52"/>
      <c r="X2442" s="52"/>
      <c r="Y2442" s="52"/>
      <c r="Z2442" s="52"/>
      <c r="AA2442" s="52"/>
      <c r="AB2442" s="52"/>
      <c r="AC2442" s="52"/>
      <c r="AD2442" s="52"/>
      <c r="AE2442" s="52"/>
      <c r="AF2442" s="52"/>
      <c r="AG2442" s="52"/>
      <c r="AH2442" s="52"/>
      <c r="AM2442" s="52"/>
      <c r="AN2442" s="52"/>
    </row>
    <row r="2443" spans="16:40" x14ac:dyDescent="0.2">
      <c r="P2443" s="52"/>
      <c r="Q2443" s="52"/>
      <c r="R2443" s="52"/>
      <c r="S2443" s="52"/>
      <c r="T2443" s="52"/>
      <c r="U2443" s="52"/>
      <c r="V2443" s="52"/>
      <c r="W2443" s="52"/>
      <c r="X2443" s="52"/>
      <c r="Y2443" s="52"/>
      <c r="Z2443" s="52"/>
      <c r="AA2443" s="52"/>
      <c r="AB2443" s="52"/>
      <c r="AC2443" s="52"/>
      <c r="AD2443" s="52"/>
      <c r="AE2443" s="52"/>
      <c r="AF2443" s="52"/>
      <c r="AG2443" s="52"/>
      <c r="AH2443" s="52"/>
      <c r="AM2443" s="52"/>
      <c r="AN2443" s="52"/>
    </row>
    <row r="2444" spans="16:40" x14ac:dyDescent="0.2">
      <c r="P2444" s="52"/>
      <c r="Q2444" s="52"/>
      <c r="R2444" s="52"/>
      <c r="S2444" s="52"/>
      <c r="T2444" s="52"/>
      <c r="U2444" s="52"/>
      <c r="V2444" s="52"/>
      <c r="W2444" s="52"/>
      <c r="X2444" s="52"/>
      <c r="Y2444" s="52"/>
      <c r="Z2444" s="52"/>
      <c r="AA2444" s="52"/>
      <c r="AB2444" s="52"/>
      <c r="AC2444" s="52"/>
      <c r="AD2444" s="52"/>
      <c r="AE2444" s="52"/>
      <c r="AF2444" s="52"/>
      <c r="AG2444" s="52"/>
      <c r="AH2444" s="52"/>
      <c r="AM2444" s="52"/>
      <c r="AN2444" s="52"/>
    </row>
    <row r="2445" spans="16:40" x14ac:dyDescent="0.2">
      <c r="P2445" s="52"/>
      <c r="Q2445" s="52"/>
      <c r="R2445" s="52"/>
      <c r="S2445" s="52"/>
      <c r="T2445" s="52"/>
      <c r="U2445" s="52"/>
      <c r="V2445" s="52"/>
      <c r="W2445" s="52"/>
      <c r="X2445" s="52"/>
      <c r="Y2445" s="52"/>
      <c r="Z2445" s="52"/>
      <c r="AA2445" s="52"/>
      <c r="AB2445" s="52"/>
      <c r="AC2445" s="52"/>
      <c r="AD2445" s="52"/>
      <c r="AE2445" s="52"/>
      <c r="AF2445" s="52"/>
      <c r="AG2445" s="52"/>
      <c r="AH2445" s="52"/>
      <c r="AM2445" s="52"/>
      <c r="AN2445" s="52"/>
    </row>
    <row r="2446" spans="16:40" x14ac:dyDescent="0.2">
      <c r="P2446" s="52"/>
      <c r="Q2446" s="52"/>
      <c r="R2446" s="52"/>
      <c r="S2446" s="52"/>
      <c r="T2446" s="52"/>
      <c r="U2446" s="52"/>
      <c r="V2446" s="52"/>
      <c r="W2446" s="52"/>
      <c r="X2446" s="52"/>
      <c r="Y2446" s="52"/>
      <c r="Z2446" s="52"/>
      <c r="AA2446" s="52"/>
      <c r="AB2446" s="52"/>
      <c r="AC2446" s="52"/>
      <c r="AD2446" s="52"/>
      <c r="AE2446" s="52"/>
      <c r="AF2446" s="52"/>
      <c r="AG2446" s="52"/>
      <c r="AH2446" s="52"/>
      <c r="AM2446" s="52"/>
      <c r="AN2446" s="52"/>
    </row>
    <row r="2447" spans="16:40" x14ac:dyDescent="0.2">
      <c r="P2447" s="52"/>
      <c r="Q2447" s="52"/>
      <c r="R2447" s="52"/>
      <c r="S2447" s="52"/>
      <c r="T2447" s="52"/>
      <c r="U2447" s="52"/>
      <c r="V2447" s="52"/>
      <c r="W2447" s="52"/>
      <c r="X2447" s="52"/>
      <c r="Y2447" s="52"/>
      <c r="Z2447" s="52"/>
      <c r="AA2447" s="52"/>
      <c r="AB2447" s="52"/>
      <c r="AC2447" s="52"/>
      <c r="AD2447" s="52"/>
      <c r="AE2447" s="52"/>
      <c r="AF2447" s="52"/>
      <c r="AG2447" s="52"/>
      <c r="AH2447" s="52"/>
      <c r="AM2447" s="52"/>
      <c r="AN2447" s="52"/>
    </row>
    <row r="2448" spans="16:40" x14ac:dyDescent="0.2">
      <c r="P2448" s="52"/>
      <c r="Q2448" s="52"/>
      <c r="R2448" s="52"/>
      <c r="S2448" s="52"/>
      <c r="T2448" s="52"/>
      <c r="U2448" s="52"/>
      <c r="V2448" s="52"/>
      <c r="W2448" s="52"/>
      <c r="X2448" s="52"/>
      <c r="Y2448" s="52"/>
      <c r="Z2448" s="52"/>
      <c r="AA2448" s="52"/>
      <c r="AB2448" s="52"/>
      <c r="AC2448" s="52"/>
      <c r="AD2448" s="52"/>
      <c r="AE2448" s="52"/>
      <c r="AF2448" s="52"/>
      <c r="AG2448" s="52"/>
      <c r="AH2448" s="52"/>
      <c r="AM2448" s="52"/>
      <c r="AN2448" s="52"/>
    </row>
    <row r="2449" spans="16:40" x14ac:dyDescent="0.2">
      <c r="P2449" s="52"/>
      <c r="Q2449" s="52"/>
      <c r="R2449" s="52"/>
      <c r="S2449" s="52"/>
      <c r="T2449" s="52"/>
      <c r="U2449" s="52"/>
      <c r="V2449" s="52"/>
      <c r="W2449" s="52"/>
      <c r="X2449" s="52"/>
      <c r="Y2449" s="52"/>
      <c r="Z2449" s="52"/>
      <c r="AA2449" s="52"/>
      <c r="AB2449" s="52"/>
      <c r="AC2449" s="52"/>
      <c r="AD2449" s="52"/>
      <c r="AE2449" s="52"/>
      <c r="AF2449" s="52"/>
      <c r="AG2449" s="52"/>
      <c r="AH2449" s="52"/>
      <c r="AM2449" s="52"/>
      <c r="AN2449" s="52"/>
    </row>
    <row r="2450" spans="16:40" x14ac:dyDescent="0.2">
      <c r="P2450" s="52"/>
      <c r="Q2450" s="52"/>
      <c r="R2450" s="52"/>
      <c r="S2450" s="52"/>
      <c r="T2450" s="52"/>
      <c r="U2450" s="52"/>
      <c r="V2450" s="52"/>
      <c r="W2450" s="52"/>
      <c r="X2450" s="52"/>
      <c r="Y2450" s="52"/>
      <c r="Z2450" s="52"/>
      <c r="AA2450" s="52"/>
      <c r="AB2450" s="52"/>
      <c r="AC2450" s="52"/>
      <c r="AD2450" s="52"/>
      <c r="AE2450" s="52"/>
      <c r="AF2450" s="52"/>
      <c r="AG2450" s="52"/>
      <c r="AH2450" s="52"/>
      <c r="AM2450" s="52"/>
      <c r="AN2450" s="52"/>
    </row>
    <row r="2451" spans="16:40" x14ac:dyDescent="0.2">
      <c r="P2451" s="52"/>
      <c r="Q2451" s="52"/>
      <c r="R2451" s="52"/>
      <c r="S2451" s="52"/>
      <c r="T2451" s="52"/>
      <c r="U2451" s="52"/>
      <c r="V2451" s="52"/>
      <c r="W2451" s="52"/>
      <c r="X2451" s="52"/>
      <c r="Y2451" s="52"/>
      <c r="Z2451" s="52"/>
      <c r="AA2451" s="52"/>
      <c r="AB2451" s="52"/>
      <c r="AC2451" s="52"/>
      <c r="AD2451" s="52"/>
      <c r="AE2451" s="52"/>
      <c r="AF2451" s="52"/>
      <c r="AG2451" s="52"/>
      <c r="AH2451" s="52"/>
      <c r="AM2451" s="52"/>
      <c r="AN2451" s="52"/>
    </row>
    <row r="2452" spans="16:40" x14ac:dyDescent="0.2">
      <c r="P2452" s="52"/>
      <c r="Q2452" s="52"/>
      <c r="R2452" s="52"/>
      <c r="S2452" s="52"/>
      <c r="T2452" s="52"/>
      <c r="U2452" s="52"/>
      <c r="V2452" s="52"/>
      <c r="W2452" s="52"/>
      <c r="X2452" s="52"/>
      <c r="Y2452" s="52"/>
      <c r="Z2452" s="52"/>
      <c r="AA2452" s="52"/>
      <c r="AB2452" s="52"/>
      <c r="AC2452" s="52"/>
      <c r="AD2452" s="52"/>
      <c r="AE2452" s="52"/>
      <c r="AF2452" s="52"/>
      <c r="AG2452" s="52"/>
      <c r="AH2452" s="52"/>
      <c r="AM2452" s="52"/>
      <c r="AN2452" s="52"/>
    </row>
    <row r="2453" spans="16:40" x14ac:dyDescent="0.2">
      <c r="P2453" s="52"/>
      <c r="Q2453" s="52"/>
      <c r="R2453" s="52"/>
      <c r="S2453" s="52"/>
      <c r="T2453" s="52"/>
      <c r="U2453" s="52"/>
      <c r="V2453" s="52"/>
      <c r="W2453" s="52"/>
      <c r="X2453" s="52"/>
      <c r="Y2453" s="52"/>
      <c r="Z2453" s="52"/>
      <c r="AA2453" s="52"/>
      <c r="AB2453" s="52"/>
      <c r="AC2453" s="52"/>
      <c r="AD2453" s="52"/>
      <c r="AE2453" s="52"/>
      <c r="AF2453" s="52"/>
      <c r="AG2453" s="52"/>
      <c r="AH2453" s="52"/>
      <c r="AM2453" s="52"/>
      <c r="AN2453" s="52"/>
    </row>
    <row r="2454" spans="16:40" x14ac:dyDescent="0.2"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2"/>
      <c r="AA2454" s="52"/>
      <c r="AB2454" s="52"/>
      <c r="AC2454" s="52"/>
      <c r="AD2454" s="52"/>
      <c r="AE2454" s="52"/>
      <c r="AF2454" s="52"/>
      <c r="AG2454" s="52"/>
      <c r="AH2454" s="52"/>
      <c r="AM2454" s="52"/>
      <c r="AN2454" s="52"/>
    </row>
    <row r="2455" spans="16:40" x14ac:dyDescent="0.2">
      <c r="P2455" s="52"/>
      <c r="Q2455" s="52"/>
      <c r="R2455" s="52"/>
      <c r="S2455" s="52"/>
      <c r="T2455" s="52"/>
      <c r="U2455" s="52"/>
      <c r="V2455" s="52"/>
      <c r="W2455" s="52"/>
      <c r="X2455" s="52"/>
      <c r="Y2455" s="52"/>
      <c r="Z2455" s="52"/>
      <c r="AA2455" s="52"/>
      <c r="AB2455" s="52"/>
      <c r="AC2455" s="52"/>
      <c r="AD2455" s="52"/>
      <c r="AE2455" s="52"/>
      <c r="AF2455" s="52"/>
      <c r="AG2455" s="52"/>
      <c r="AH2455" s="52"/>
      <c r="AM2455" s="52"/>
      <c r="AN2455" s="52"/>
    </row>
    <row r="2456" spans="16:40" x14ac:dyDescent="0.2">
      <c r="P2456" s="52"/>
      <c r="Q2456" s="52"/>
      <c r="R2456" s="52"/>
      <c r="S2456" s="52"/>
      <c r="T2456" s="52"/>
      <c r="U2456" s="52"/>
      <c r="V2456" s="52"/>
      <c r="W2456" s="52"/>
      <c r="X2456" s="52"/>
      <c r="Y2456" s="52"/>
      <c r="Z2456" s="52"/>
      <c r="AA2456" s="52"/>
      <c r="AB2456" s="52"/>
      <c r="AC2456" s="52"/>
      <c r="AD2456" s="52"/>
      <c r="AE2456" s="52"/>
      <c r="AF2456" s="52"/>
      <c r="AG2456" s="52"/>
      <c r="AH2456" s="52"/>
      <c r="AM2456" s="52"/>
      <c r="AN2456" s="52"/>
    </row>
    <row r="2457" spans="16:40" x14ac:dyDescent="0.2">
      <c r="P2457" s="52"/>
      <c r="Q2457" s="52"/>
      <c r="R2457" s="52"/>
      <c r="S2457" s="52"/>
      <c r="T2457" s="52"/>
      <c r="U2457" s="52"/>
      <c r="V2457" s="52"/>
      <c r="W2457" s="52"/>
      <c r="X2457" s="52"/>
      <c r="Y2457" s="52"/>
      <c r="Z2457" s="52"/>
      <c r="AA2457" s="52"/>
      <c r="AB2457" s="52"/>
      <c r="AC2457" s="52"/>
      <c r="AD2457" s="52"/>
      <c r="AE2457" s="52"/>
      <c r="AF2457" s="52"/>
      <c r="AG2457" s="52"/>
      <c r="AH2457" s="52"/>
      <c r="AM2457" s="52"/>
      <c r="AN2457" s="52"/>
    </row>
    <row r="2458" spans="16:40" x14ac:dyDescent="0.2">
      <c r="P2458" s="52"/>
      <c r="Q2458" s="52"/>
      <c r="R2458" s="52"/>
      <c r="S2458" s="52"/>
      <c r="T2458" s="52"/>
      <c r="U2458" s="52"/>
      <c r="V2458" s="52"/>
      <c r="W2458" s="52"/>
      <c r="X2458" s="52"/>
      <c r="Y2458" s="52"/>
      <c r="Z2458" s="52"/>
      <c r="AA2458" s="52"/>
      <c r="AB2458" s="52"/>
      <c r="AC2458" s="52"/>
      <c r="AD2458" s="52"/>
      <c r="AE2458" s="52"/>
      <c r="AF2458" s="52"/>
      <c r="AG2458" s="52"/>
      <c r="AH2458" s="52"/>
      <c r="AM2458" s="52"/>
      <c r="AN2458" s="52"/>
    </row>
    <row r="2459" spans="16:40" x14ac:dyDescent="0.2">
      <c r="P2459" s="52"/>
      <c r="Q2459" s="52"/>
      <c r="R2459" s="52"/>
      <c r="S2459" s="52"/>
      <c r="T2459" s="52"/>
      <c r="U2459" s="52"/>
      <c r="V2459" s="52"/>
      <c r="W2459" s="52"/>
      <c r="X2459" s="52"/>
      <c r="Y2459" s="52"/>
      <c r="Z2459" s="52"/>
      <c r="AA2459" s="52"/>
      <c r="AB2459" s="52"/>
      <c r="AC2459" s="52"/>
      <c r="AD2459" s="52"/>
      <c r="AE2459" s="52"/>
      <c r="AF2459" s="52"/>
      <c r="AG2459" s="52"/>
      <c r="AH2459" s="52"/>
      <c r="AM2459" s="52"/>
      <c r="AN2459" s="52"/>
    </row>
    <row r="2460" spans="16:40" x14ac:dyDescent="0.2">
      <c r="P2460" s="52"/>
      <c r="Q2460" s="52"/>
      <c r="R2460" s="52"/>
      <c r="S2460" s="52"/>
      <c r="T2460" s="52"/>
      <c r="U2460" s="52"/>
      <c r="V2460" s="52"/>
      <c r="W2460" s="52"/>
      <c r="X2460" s="52"/>
      <c r="Y2460" s="52"/>
      <c r="Z2460" s="52"/>
      <c r="AA2460" s="52"/>
      <c r="AB2460" s="52"/>
      <c r="AC2460" s="52"/>
      <c r="AD2460" s="52"/>
      <c r="AE2460" s="52"/>
      <c r="AF2460" s="52"/>
      <c r="AG2460" s="52"/>
      <c r="AH2460" s="52"/>
      <c r="AM2460" s="52"/>
      <c r="AN2460" s="52"/>
    </row>
    <row r="2461" spans="16:40" x14ac:dyDescent="0.2">
      <c r="P2461" s="52"/>
      <c r="Q2461" s="52"/>
      <c r="R2461" s="52"/>
      <c r="S2461" s="52"/>
      <c r="T2461" s="52"/>
      <c r="U2461" s="52"/>
      <c r="V2461" s="52"/>
      <c r="W2461" s="52"/>
      <c r="X2461" s="52"/>
      <c r="Y2461" s="52"/>
      <c r="Z2461" s="52"/>
      <c r="AA2461" s="52"/>
      <c r="AB2461" s="52"/>
      <c r="AC2461" s="52"/>
      <c r="AD2461" s="52"/>
      <c r="AE2461" s="52"/>
      <c r="AF2461" s="52"/>
      <c r="AG2461" s="52"/>
      <c r="AH2461" s="52"/>
      <c r="AM2461" s="52"/>
      <c r="AN2461" s="52"/>
    </row>
    <row r="2462" spans="16:40" x14ac:dyDescent="0.2">
      <c r="P2462" s="52"/>
      <c r="Q2462" s="52"/>
      <c r="R2462" s="52"/>
      <c r="S2462" s="52"/>
      <c r="T2462" s="52"/>
      <c r="U2462" s="52"/>
      <c r="V2462" s="52"/>
      <c r="W2462" s="52"/>
      <c r="X2462" s="52"/>
      <c r="Y2462" s="52"/>
      <c r="Z2462" s="52"/>
      <c r="AA2462" s="52"/>
      <c r="AB2462" s="52"/>
      <c r="AC2462" s="52"/>
      <c r="AD2462" s="52"/>
      <c r="AE2462" s="52"/>
      <c r="AF2462" s="52"/>
      <c r="AG2462" s="52"/>
      <c r="AH2462" s="52"/>
      <c r="AM2462" s="52"/>
      <c r="AN2462" s="52"/>
    </row>
    <row r="2463" spans="16:40" x14ac:dyDescent="0.2">
      <c r="P2463" s="52"/>
      <c r="Q2463" s="52"/>
      <c r="R2463" s="52"/>
      <c r="S2463" s="52"/>
      <c r="T2463" s="52"/>
      <c r="U2463" s="52"/>
      <c r="V2463" s="52"/>
      <c r="W2463" s="52"/>
      <c r="X2463" s="52"/>
      <c r="Y2463" s="52"/>
      <c r="Z2463" s="52"/>
      <c r="AA2463" s="52"/>
      <c r="AB2463" s="52"/>
      <c r="AC2463" s="52"/>
      <c r="AD2463" s="52"/>
      <c r="AE2463" s="52"/>
      <c r="AF2463" s="52"/>
      <c r="AG2463" s="52"/>
      <c r="AH2463" s="52"/>
      <c r="AM2463" s="52"/>
      <c r="AN2463" s="52"/>
    </row>
    <row r="2464" spans="16:40" x14ac:dyDescent="0.2">
      <c r="P2464" s="52"/>
      <c r="Q2464" s="52"/>
      <c r="R2464" s="52"/>
      <c r="S2464" s="52"/>
      <c r="T2464" s="52"/>
      <c r="U2464" s="52"/>
      <c r="V2464" s="52"/>
      <c r="W2464" s="52"/>
      <c r="X2464" s="52"/>
      <c r="Y2464" s="52"/>
      <c r="Z2464" s="52"/>
      <c r="AA2464" s="52"/>
      <c r="AB2464" s="52"/>
      <c r="AC2464" s="52"/>
      <c r="AD2464" s="52"/>
      <c r="AE2464" s="52"/>
      <c r="AF2464" s="52"/>
      <c r="AG2464" s="52"/>
      <c r="AH2464" s="52"/>
      <c r="AM2464" s="52"/>
      <c r="AN2464" s="52"/>
    </row>
    <row r="2465" spans="16:40" x14ac:dyDescent="0.2">
      <c r="P2465" s="52"/>
      <c r="Q2465" s="52"/>
      <c r="R2465" s="52"/>
      <c r="S2465" s="52"/>
      <c r="T2465" s="52"/>
      <c r="U2465" s="52"/>
      <c r="V2465" s="52"/>
      <c r="W2465" s="52"/>
      <c r="X2465" s="52"/>
      <c r="Y2465" s="52"/>
      <c r="Z2465" s="52"/>
      <c r="AA2465" s="52"/>
      <c r="AB2465" s="52"/>
      <c r="AC2465" s="52"/>
      <c r="AD2465" s="52"/>
      <c r="AE2465" s="52"/>
      <c r="AF2465" s="52"/>
      <c r="AG2465" s="52"/>
      <c r="AH2465" s="52"/>
      <c r="AM2465" s="52"/>
      <c r="AN2465" s="52"/>
    </row>
    <row r="2466" spans="16:40" x14ac:dyDescent="0.2">
      <c r="P2466" s="52"/>
      <c r="Q2466" s="52"/>
      <c r="R2466" s="52"/>
      <c r="S2466" s="52"/>
      <c r="T2466" s="52"/>
      <c r="U2466" s="52"/>
      <c r="V2466" s="52"/>
      <c r="W2466" s="52"/>
      <c r="X2466" s="52"/>
      <c r="Y2466" s="52"/>
      <c r="Z2466" s="52"/>
      <c r="AA2466" s="52"/>
      <c r="AB2466" s="52"/>
      <c r="AC2466" s="52"/>
      <c r="AD2466" s="52"/>
      <c r="AE2466" s="52"/>
      <c r="AF2466" s="52"/>
      <c r="AG2466" s="52"/>
      <c r="AH2466" s="52"/>
      <c r="AM2466" s="52"/>
      <c r="AN2466" s="52"/>
    </row>
    <row r="2467" spans="16:40" x14ac:dyDescent="0.2">
      <c r="P2467" s="52"/>
      <c r="Q2467" s="52"/>
      <c r="R2467" s="52"/>
      <c r="S2467" s="52"/>
      <c r="T2467" s="52"/>
      <c r="U2467" s="52"/>
      <c r="V2467" s="52"/>
      <c r="W2467" s="52"/>
      <c r="X2467" s="52"/>
      <c r="Y2467" s="52"/>
      <c r="Z2467" s="52"/>
      <c r="AA2467" s="52"/>
      <c r="AB2467" s="52"/>
      <c r="AC2467" s="52"/>
      <c r="AD2467" s="52"/>
      <c r="AE2467" s="52"/>
      <c r="AF2467" s="52"/>
      <c r="AG2467" s="52"/>
      <c r="AH2467" s="52"/>
      <c r="AM2467" s="52"/>
      <c r="AN2467" s="52"/>
    </row>
    <row r="2468" spans="16:40" x14ac:dyDescent="0.2">
      <c r="P2468" s="52"/>
      <c r="Q2468" s="52"/>
      <c r="R2468" s="52"/>
      <c r="S2468" s="52"/>
      <c r="T2468" s="52"/>
      <c r="U2468" s="52"/>
      <c r="V2468" s="52"/>
      <c r="W2468" s="52"/>
      <c r="X2468" s="52"/>
      <c r="Y2468" s="52"/>
      <c r="Z2468" s="52"/>
      <c r="AA2468" s="52"/>
      <c r="AB2468" s="52"/>
      <c r="AC2468" s="52"/>
      <c r="AD2468" s="52"/>
      <c r="AE2468" s="52"/>
      <c r="AF2468" s="52"/>
      <c r="AG2468" s="52"/>
      <c r="AH2468" s="52"/>
      <c r="AM2468" s="52"/>
      <c r="AN2468" s="52"/>
    </row>
    <row r="2469" spans="16:40" x14ac:dyDescent="0.2">
      <c r="P2469" s="52"/>
      <c r="Q2469" s="52"/>
      <c r="R2469" s="52"/>
      <c r="S2469" s="52"/>
      <c r="T2469" s="52"/>
      <c r="U2469" s="52"/>
      <c r="V2469" s="52"/>
      <c r="W2469" s="52"/>
      <c r="X2469" s="52"/>
      <c r="Y2469" s="52"/>
      <c r="Z2469" s="52"/>
      <c r="AA2469" s="52"/>
      <c r="AB2469" s="52"/>
      <c r="AC2469" s="52"/>
      <c r="AD2469" s="52"/>
      <c r="AE2469" s="52"/>
      <c r="AF2469" s="52"/>
      <c r="AG2469" s="52"/>
      <c r="AH2469" s="52"/>
      <c r="AM2469" s="52"/>
      <c r="AN2469" s="52"/>
    </row>
    <row r="2470" spans="16:40" x14ac:dyDescent="0.2">
      <c r="P2470" s="52"/>
      <c r="Q2470" s="52"/>
      <c r="R2470" s="52"/>
      <c r="S2470" s="52"/>
      <c r="T2470" s="52"/>
      <c r="U2470" s="52"/>
      <c r="V2470" s="52"/>
      <c r="W2470" s="52"/>
      <c r="X2470" s="52"/>
      <c r="Y2470" s="52"/>
      <c r="Z2470" s="52"/>
      <c r="AA2470" s="52"/>
      <c r="AB2470" s="52"/>
      <c r="AC2470" s="52"/>
      <c r="AD2470" s="52"/>
      <c r="AE2470" s="52"/>
      <c r="AF2470" s="52"/>
      <c r="AG2470" s="52"/>
      <c r="AH2470" s="52"/>
      <c r="AM2470" s="52"/>
      <c r="AN2470" s="52"/>
    </row>
    <row r="2471" spans="16:40" x14ac:dyDescent="0.2">
      <c r="P2471" s="52"/>
      <c r="Q2471" s="52"/>
      <c r="R2471" s="52"/>
      <c r="S2471" s="52"/>
      <c r="T2471" s="52"/>
      <c r="U2471" s="52"/>
      <c r="V2471" s="52"/>
      <c r="W2471" s="52"/>
      <c r="X2471" s="52"/>
      <c r="Y2471" s="52"/>
      <c r="Z2471" s="52"/>
      <c r="AA2471" s="52"/>
      <c r="AB2471" s="52"/>
      <c r="AC2471" s="52"/>
      <c r="AD2471" s="52"/>
      <c r="AE2471" s="52"/>
      <c r="AF2471" s="52"/>
      <c r="AG2471" s="52"/>
      <c r="AH2471" s="52"/>
      <c r="AM2471" s="52"/>
      <c r="AN2471" s="52"/>
    </row>
    <row r="2472" spans="16:40" x14ac:dyDescent="0.2">
      <c r="P2472" s="52"/>
      <c r="Q2472" s="52"/>
      <c r="R2472" s="52"/>
      <c r="S2472" s="52"/>
      <c r="T2472" s="52"/>
      <c r="U2472" s="52"/>
      <c r="V2472" s="52"/>
      <c r="W2472" s="52"/>
      <c r="X2472" s="52"/>
      <c r="Y2472" s="52"/>
      <c r="Z2472" s="52"/>
      <c r="AA2472" s="52"/>
      <c r="AB2472" s="52"/>
      <c r="AC2472" s="52"/>
      <c r="AD2472" s="52"/>
      <c r="AE2472" s="52"/>
      <c r="AF2472" s="52"/>
      <c r="AG2472" s="52"/>
      <c r="AH2472" s="52"/>
      <c r="AM2472" s="52"/>
      <c r="AN2472" s="52"/>
    </row>
    <row r="2473" spans="16:40" x14ac:dyDescent="0.2">
      <c r="P2473" s="52"/>
      <c r="Q2473" s="52"/>
      <c r="R2473" s="52"/>
      <c r="S2473" s="52"/>
      <c r="T2473" s="52"/>
      <c r="U2473" s="52"/>
      <c r="V2473" s="52"/>
      <c r="W2473" s="52"/>
      <c r="X2473" s="52"/>
      <c r="Y2473" s="52"/>
      <c r="Z2473" s="52"/>
      <c r="AA2473" s="52"/>
      <c r="AB2473" s="52"/>
      <c r="AC2473" s="52"/>
      <c r="AD2473" s="52"/>
      <c r="AE2473" s="52"/>
      <c r="AF2473" s="52"/>
      <c r="AG2473" s="52"/>
      <c r="AH2473" s="52"/>
      <c r="AM2473" s="52"/>
      <c r="AN2473" s="52"/>
    </row>
    <row r="2474" spans="16:40" x14ac:dyDescent="0.2">
      <c r="P2474" s="52"/>
      <c r="Q2474" s="52"/>
      <c r="R2474" s="52"/>
      <c r="S2474" s="52"/>
      <c r="T2474" s="52"/>
      <c r="U2474" s="52"/>
      <c r="V2474" s="52"/>
      <c r="W2474" s="52"/>
      <c r="X2474" s="52"/>
      <c r="Y2474" s="52"/>
      <c r="Z2474" s="52"/>
      <c r="AA2474" s="52"/>
      <c r="AB2474" s="52"/>
      <c r="AC2474" s="52"/>
      <c r="AD2474" s="52"/>
      <c r="AE2474" s="52"/>
      <c r="AF2474" s="52"/>
      <c r="AG2474" s="52"/>
      <c r="AH2474" s="52"/>
      <c r="AM2474" s="52"/>
      <c r="AN2474" s="52"/>
    </row>
    <row r="2475" spans="16:40" x14ac:dyDescent="0.2">
      <c r="P2475" s="52"/>
      <c r="Q2475" s="52"/>
      <c r="R2475" s="52"/>
      <c r="S2475" s="52"/>
      <c r="T2475" s="52"/>
      <c r="U2475" s="52"/>
      <c r="V2475" s="52"/>
      <c r="W2475" s="52"/>
      <c r="X2475" s="52"/>
      <c r="Y2475" s="52"/>
      <c r="Z2475" s="52"/>
      <c r="AA2475" s="52"/>
      <c r="AB2475" s="52"/>
      <c r="AC2475" s="52"/>
      <c r="AD2475" s="52"/>
      <c r="AE2475" s="52"/>
      <c r="AF2475" s="52"/>
      <c r="AG2475" s="52"/>
      <c r="AH2475" s="52"/>
      <c r="AM2475" s="52"/>
      <c r="AN2475" s="52"/>
    </row>
    <row r="2476" spans="16:40" x14ac:dyDescent="0.2">
      <c r="P2476" s="52"/>
      <c r="Q2476" s="52"/>
      <c r="R2476" s="52"/>
      <c r="S2476" s="52"/>
      <c r="T2476" s="52"/>
      <c r="U2476" s="52"/>
      <c r="V2476" s="52"/>
      <c r="W2476" s="52"/>
      <c r="X2476" s="52"/>
      <c r="Y2476" s="52"/>
      <c r="Z2476" s="52"/>
      <c r="AA2476" s="52"/>
      <c r="AB2476" s="52"/>
      <c r="AC2476" s="52"/>
      <c r="AD2476" s="52"/>
      <c r="AE2476" s="52"/>
      <c r="AF2476" s="52"/>
      <c r="AG2476" s="52"/>
      <c r="AH2476" s="52"/>
      <c r="AM2476" s="52"/>
      <c r="AN2476" s="52"/>
    </row>
    <row r="2477" spans="16:40" x14ac:dyDescent="0.2">
      <c r="P2477" s="52"/>
      <c r="Q2477" s="52"/>
      <c r="R2477" s="52"/>
      <c r="S2477" s="52"/>
      <c r="T2477" s="52"/>
      <c r="U2477" s="52"/>
      <c r="V2477" s="52"/>
      <c r="W2477" s="52"/>
      <c r="X2477" s="52"/>
      <c r="Y2477" s="52"/>
      <c r="Z2477" s="52"/>
      <c r="AA2477" s="52"/>
      <c r="AB2477" s="52"/>
      <c r="AC2477" s="52"/>
      <c r="AD2477" s="52"/>
      <c r="AE2477" s="52"/>
      <c r="AF2477" s="52"/>
      <c r="AG2477" s="52"/>
      <c r="AH2477" s="52"/>
      <c r="AM2477" s="52"/>
      <c r="AN2477" s="52"/>
    </row>
    <row r="2478" spans="16:40" x14ac:dyDescent="0.2">
      <c r="P2478" s="52"/>
      <c r="Q2478" s="52"/>
      <c r="R2478" s="52"/>
      <c r="S2478" s="52"/>
      <c r="T2478" s="52"/>
      <c r="U2478" s="52"/>
      <c r="V2478" s="52"/>
      <c r="W2478" s="52"/>
      <c r="X2478" s="52"/>
      <c r="Y2478" s="52"/>
      <c r="Z2478" s="52"/>
      <c r="AA2478" s="52"/>
      <c r="AB2478" s="52"/>
      <c r="AC2478" s="52"/>
      <c r="AD2478" s="52"/>
      <c r="AE2478" s="52"/>
      <c r="AF2478" s="52"/>
      <c r="AG2478" s="52"/>
      <c r="AH2478" s="52"/>
      <c r="AM2478" s="52"/>
      <c r="AN2478" s="52"/>
    </row>
    <row r="2479" spans="16:40" x14ac:dyDescent="0.2">
      <c r="P2479" s="52"/>
      <c r="Q2479" s="52"/>
      <c r="R2479" s="52"/>
      <c r="S2479" s="52"/>
      <c r="T2479" s="52"/>
      <c r="U2479" s="52"/>
      <c r="V2479" s="52"/>
      <c r="W2479" s="52"/>
      <c r="X2479" s="52"/>
      <c r="Y2479" s="52"/>
      <c r="Z2479" s="52"/>
      <c r="AA2479" s="52"/>
      <c r="AB2479" s="52"/>
      <c r="AC2479" s="52"/>
      <c r="AD2479" s="52"/>
      <c r="AE2479" s="52"/>
      <c r="AF2479" s="52"/>
      <c r="AG2479" s="52"/>
      <c r="AH2479" s="52"/>
      <c r="AM2479" s="52"/>
      <c r="AN2479" s="52"/>
    </row>
    <row r="2480" spans="16:40" x14ac:dyDescent="0.2">
      <c r="P2480" s="52"/>
      <c r="Q2480" s="52"/>
      <c r="R2480" s="52"/>
      <c r="S2480" s="52"/>
      <c r="T2480" s="52"/>
      <c r="U2480" s="52"/>
      <c r="V2480" s="52"/>
      <c r="W2480" s="52"/>
      <c r="X2480" s="52"/>
      <c r="Y2480" s="52"/>
      <c r="Z2480" s="52"/>
      <c r="AA2480" s="52"/>
      <c r="AB2480" s="52"/>
      <c r="AC2480" s="52"/>
      <c r="AD2480" s="52"/>
      <c r="AE2480" s="52"/>
      <c r="AF2480" s="52"/>
      <c r="AG2480" s="52"/>
      <c r="AH2480" s="52"/>
      <c r="AM2480" s="52"/>
      <c r="AN2480" s="52"/>
    </row>
    <row r="2481" spans="16:40" x14ac:dyDescent="0.2">
      <c r="P2481" s="52"/>
      <c r="Q2481" s="52"/>
      <c r="R2481" s="52"/>
      <c r="S2481" s="52"/>
      <c r="T2481" s="52"/>
      <c r="U2481" s="52"/>
      <c r="V2481" s="52"/>
      <c r="W2481" s="52"/>
      <c r="X2481" s="52"/>
      <c r="Y2481" s="52"/>
      <c r="Z2481" s="52"/>
      <c r="AA2481" s="52"/>
      <c r="AB2481" s="52"/>
      <c r="AC2481" s="52"/>
      <c r="AD2481" s="52"/>
      <c r="AE2481" s="52"/>
      <c r="AF2481" s="52"/>
      <c r="AG2481" s="52"/>
      <c r="AH2481" s="52"/>
      <c r="AM2481" s="52"/>
      <c r="AN2481" s="52"/>
    </row>
    <row r="2482" spans="16:40" x14ac:dyDescent="0.2">
      <c r="P2482" s="52"/>
      <c r="Q2482" s="52"/>
      <c r="R2482" s="52"/>
      <c r="S2482" s="52"/>
      <c r="T2482" s="52"/>
      <c r="U2482" s="52"/>
      <c r="V2482" s="52"/>
      <c r="W2482" s="52"/>
      <c r="X2482" s="52"/>
      <c r="Y2482" s="52"/>
      <c r="Z2482" s="52"/>
      <c r="AA2482" s="52"/>
      <c r="AB2482" s="52"/>
      <c r="AC2482" s="52"/>
      <c r="AD2482" s="52"/>
      <c r="AE2482" s="52"/>
      <c r="AF2482" s="52"/>
      <c r="AG2482" s="52"/>
      <c r="AH2482" s="52"/>
      <c r="AM2482" s="52"/>
      <c r="AN2482" s="52"/>
    </row>
    <row r="2483" spans="16:40" x14ac:dyDescent="0.2">
      <c r="P2483" s="52"/>
      <c r="Q2483" s="52"/>
      <c r="R2483" s="52"/>
      <c r="S2483" s="52"/>
      <c r="T2483" s="52"/>
      <c r="U2483" s="52"/>
      <c r="V2483" s="52"/>
      <c r="W2483" s="52"/>
      <c r="X2483" s="52"/>
      <c r="Y2483" s="52"/>
      <c r="Z2483" s="52"/>
      <c r="AA2483" s="52"/>
      <c r="AB2483" s="52"/>
      <c r="AC2483" s="52"/>
      <c r="AD2483" s="52"/>
      <c r="AE2483" s="52"/>
      <c r="AF2483" s="52"/>
      <c r="AG2483" s="52"/>
      <c r="AH2483" s="52"/>
      <c r="AM2483" s="52"/>
      <c r="AN2483" s="52"/>
    </row>
    <row r="2484" spans="16:40" x14ac:dyDescent="0.2">
      <c r="P2484" s="52"/>
      <c r="Q2484" s="52"/>
      <c r="R2484" s="52"/>
      <c r="S2484" s="52"/>
      <c r="T2484" s="52"/>
      <c r="U2484" s="52"/>
      <c r="V2484" s="52"/>
      <c r="W2484" s="52"/>
      <c r="X2484" s="52"/>
      <c r="Y2484" s="52"/>
      <c r="Z2484" s="52"/>
      <c r="AA2484" s="52"/>
      <c r="AB2484" s="52"/>
      <c r="AC2484" s="52"/>
      <c r="AD2484" s="52"/>
      <c r="AE2484" s="52"/>
      <c r="AF2484" s="52"/>
      <c r="AG2484" s="52"/>
      <c r="AH2484" s="52"/>
      <c r="AM2484" s="52"/>
      <c r="AN2484" s="52"/>
    </row>
    <row r="2485" spans="16:40" x14ac:dyDescent="0.2">
      <c r="P2485" s="52"/>
      <c r="Q2485" s="52"/>
      <c r="R2485" s="52"/>
      <c r="S2485" s="52"/>
      <c r="T2485" s="52"/>
      <c r="U2485" s="52"/>
      <c r="V2485" s="52"/>
      <c r="W2485" s="52"/>
      <c r="X2485" s="52"/>
      <c r="Y2485" s="52"/>
      <c r="Z2485" s="52"/>
      <c r="AA2485" s="52"/>
      <c r="AB2485" s="52"/>
      <c r="AC2485" s="52"/>
      <c r="AD2485" s="52"/>
      <c r="AE2485" s="52"/>
      <c r="AF2485" s="52"/>
      <c r="AG2485" s="52"/>
      <c r="AH2485" s="52"/>
      <c r="AM2485" s="52"/>
      <c r="AN2485" s="52"/>
    </row>
    <row r="2486" spans="16:40" x14ac:dyDescent="0.2">
      <c r="P2486" s="52"/>
      <c r="Q2486" s="52"/>
      <c r="R2486" s="52"/>
      <c r="S2486" s="52"/>
      <c r="T2486" s="52"/>
      <c r="U2486" s="52"/>
      <c r="V2486" s="52"/>
      <c r="W2486" s="52"/>
      <c r="X2486" s="52"/>
      <c r="Y2486" s="52"/>
      <c r="Z2486" s="52"/>
      <c r="AA2486" s="52"/>
      <c r="AB2486" s="52"/>
      <c r="AC2486" s="52"/>
      <c r="AD2486" s="52"/>
      <c r="AE2486" s="52"/>
      <c r="AF2486" s="52"/>
      <c r="AG2486" s="52"/>
      <c r="AH2486" s="52"/>
      <c r="AM2486" s="52"/>
      <c r="AN2486" s="52"/>
    </row>
    <row r="2487" spans="16:40" x14ac:dyDescent="0.2">
      <c r="P2487" s="52"/>
      <c r="Q2487" s="52"/>
      <c r="R2487" s="52"/>
      <c r="S2487" s="52"/>
      <c r="T2487" s="52"/>
      <c r="U2487" s="52"/>
      <c r="V2487" s="52"/>
      <c r="W2487" s="52"/>
      <c r="X2487" s="52"/>
      <c r="Y2487" s="52"/>
      <c r="Z2487" s="52"/>
      <c r="AA2487" s="52"/>
      <c r="AB2487" s="52"/>
      <c r="AC2487" s="52"/>
      <c r="AD2487" s="52"/>
      <c r="AE2487" s="52"/>
      <c r="AF2487" s="52"/>
      <c r="AG2487" s="52"/>
      <c r="AH2487" s="52"/>
      <c r="AM2487" s="52"/>
      <c r="AN2487" s="52"/>
    </row>
    <row r="2488" spans="16:40" x14ac:dyDescent="0.2">
      <c r="P2488" s="52"/>
      <c r="Q2488" s="52"/>
      <c r="R2488" s="52"/>
      <c r="S2488" s="52"/>
      <c r="T2488" s="52"/>
      <c r="U2488" s="52"/>
      <c r="V2488" s="52"/>
      <c r="W2488" s="52"/>
      <c r="X2488" s="52"/>
      <c r="Y2488" s="52"/>
      <c r="Z2488" s="52"/>
      <c r="AA2488" s="52"/>
      <c r="AB2488" s="52"/>
      <c r="AC2488" s="52"/>
      <c r="AD2488" s="52"/>
      <c r="AE2488" s="52"/>
      <c r="AF2488" s="52"/>
      <c r="AG2488" s="52"/>
      <c r="AH2488" s="52"/>
      <c r="AM2488" s="52"/>
      <c r="AN2488" s="52"/>
    </row>
    <row r="2489" spans="16:40" x14ac:dyDescent="0.2">
      <c r="P2489" s="52"/>
      <c r="Q2489" s="52"/>
      <c r="R2489" s="52"/>
      <c r="S2489" s="52"/>
      <c r="T2489" s="52"/>
      <c r="U2489" s="52"/>
      <c r="V2489" s="52"/>
      <c r="W2489" s="52"/>
      <c r="X2489" s="52"/>
      <c r="Y2489" s="52"/>
      <c r="Z2489" s="52"/>
      <c r="AA2489" s="52"/>
      <c r="AB2489" s="52"/>
      <c r="AC2489" s="52"/>
      <c r="AD2489" s="52"/>
      <c r="AE2489" s="52"/>
      <c r="AF2489" s="52"/>
      <c r="AG2489" s="52"/>
      <c r="AH2489" s="52"/>
      <c r="AM2489" s="52"/>
      <c r="AN2489" s="52"/>
    </row>
    <row r="2490" spans="16:40" x14ac:dyDescent="0.2">
      <c r="P2490" s="52"/>
      <c r="Q2490" s="52"/>
      <c r="R2490" s="52"/>
      <c r="S2490" s="52"/>
      <c r="T2490" s="52"/>
      <c r="U2490" s="52"/>
      <c r="V2490" s="52"/>
      <c r="W2490" s="52"/>
      <c r="X2490" s="52"/>
      <c r="Y2490" s="52"/>
      <c r="Z2490" s="52"/>
      <c r="AA2490" s="52"/>
      <c r="AB2490" s="52"/>
      <c r="AC2490" s="52"/>
      <c r="AD2490" s="52"/>
      <c r="AE2490" s="52"/>
      <c r="AF2490" s="52"/>
      <c r="AG2490" s="52"/>
      <c r="AH2490" s="52"/>
      <c r="AM2490" s="52"/>
      <c r="AN2490" s="52"/>
    </row>
    <row r="2491" spans="16:40" x14ac:dyDescent="0.2">
      <c r="P2491" s="52"/>
      <c r="Q2491" s="52"/>
      <c r="R2491" s="52"/>
      <c r="S2491" s="52"/>
      <c r="T2491" s="52"/>
      <c r="U2491" s="52"/>
      <c r="V2491" s="52"/>
      <c r="W2491" s="52"/>
      <c r="X2491" s="52"/>
      <c r="Y2491" s="52"/>
      <c r="Z2491" s="52"/>
      <c r="AA2491" s="52"/>
      <c r="AB2491" s="52"/>
      <c r="AC2491" s="52"/>
      <c r="AD2491" s="52"/>
      <c r="AE2491" s="52"/>
      <c r="AF2491" s="52"/>
      <c r="AG2491" s="52"/>
      <c r="AH2491" s="52"/>
      <c r="AM2491" s="52"/>
      <c r="AN2491" s="52"/>
    </row>
    <row r="2492" spans="16:40" x14ac:dyDescent="0.2"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2"/>
      <c r="AA2492" s="52"/>
      <c r="AB2492" s="52"/>
      <c r="AC2492" s="52"/>
      <c r="AD2492" s="52"/>
      <c r="AE2492" s="52"/>
      <c r="AF2492" s="52"/>
      <c r="AG2492" s="52"/>
      <c r="AH2492" s="52"/>
      <c r="AM2492" s="52"/>
      <c r="AN2492" s="52"/>
    </row>
    <row r="2493" spans="16:40" x14ac:dyDescent="0.2">
      <c r="P2493" s="52"/>
      <c r="Q2493" s="52"/>
      <c r="R2493" s="52"/>
      <c r="S2493" s="52"/>
      <c r="T2493" s="52"/>
      <c r="U2493" s="52"/>
      <c r="V2493" s="52"/>
      <c r="W2493" s="52"/>
      <c r="X2493" s="52"/>
      <c r="Y2493" s="52"/>
      <c r="Z2493" s="52"/>
      <c r="AA2493" s="52"/>
      <c r="AB2493" s="52"/>
      <c r="AC2493" s="52"/>
      <c r="AD2493" s="52"/>
      <c r="AE2493" s="52"/>
      <c r="AF2493" s="52"/>
      <c r="AG2493" s="52"/>
      <c r="AH2493" s="52"/>
      <c r="AM2493" s="52"/>
      <c r="AN2493" s="52"/>
    </row>
    <row r="2494" spans="16:40" x14ac:dyDescent="0.2">
      <c r="P2494" s="52"/>
      <c r="Q2494" s="52"/>
      <c r="R2494" s="52"/>
      <c r="S2494" s="52"/>
      <c r="T2494" s="52"/>
      <c r="U2494" s="52"/>
      <c r="V2494" s="52"/>
      <c r="W2494" s="52"/>
      <c r="X2494" s="52"/>
      <c r="Y2494" s="52"/>
      <c r="Z2494" s="52"/>
      <c r="AA2494" s="52"/>
      <c r="AB2494" s="52"/>
      <c r="AC2494" s="52"/>
      <c r="AD2494" s="52"/>
      <c r="AE2494" s="52"/>
      <c r="AF2494" s="52"/>
      <c r="AG2494" s="52"/>
      <c r="AH2494" s="52"/>
      <c r="AM2494" s="52"/>
      <c r="AN2494" s="52"/>
    </row>
    <row r="2495" spans="16:40" x14ac:dyDescent="0.2">
      <c r="P2495" s="52"/>
      <c r="Q2495" s="52"/>
      <c r="R2495" s="52"/>
      <c r="S2495" s="52"/>
      <c r="T2495" s="52"/>
      <c r="U2495" s="52"/>
      <c r="V2495" s="52"/>
      <c r="W2495" s="52"/>
      <c r="X2495" s="52"/>
      <c r="Y2495" s="52"/>
      <c r="Z2495" s="52"/>
      <c r="AA2495" s="52"/>
      <c r="AB2495" s="52"/>
      <c r="AC2495" s="52"/>
      <c r="AD2495" s="52"/>
      <c r="AE2495" s="52"/>
      <c r="AF2495" s="52"/>
      <c r="AG2495" s="52"/>
      <c r="AH2495" s="52"/>
      <c r="AM2495" s="52"/>
      <c r="AN2495" s="52"/>
    </row>
    <row r="2496" spans="16:40" x14ac:dyDescent="0.2">
      <c r="P2496" s="52"/>
      <c r="Q2496" s="52"/>
      <c r="R2496" s="52"/>
      <c r="S2496" s="52"/>
      <c r="T2496" s="52"/>
      <c r="U2496" s="52"/>
      <c r="V2496" s="52"/>
      <c r="W2496" s="52"/>
      <c r="X2496" s="52"/>
      <c r="Y2496" s="52"/>
      <c r="Z2496" s="52"/>
      <c r="AA2496" s="52"/>
      <c r="AB2496" s="52"/>
      <c r="AC2496" s="52"/>
      <c r="AD2496" s="52"/>
      <c r="AE2496" s="52"/>
      <c r="AF2496" s="52"/>
      <c r="AG2496" s="52"/>
      <c r="AH2496" s="52"/>
      <c r="AM2496" s="52"/>
      <c r="AN2496" s="52"/>
    </row>
    <row r="2497" spans="16:40" x14ac:dyDescent="0.2">
      <c r="P2497" s="52"/>
      <c r="Q2497" s="52"/>
      <c r="R2497" s="52"/>
      <c r="S2497" s="52"/>
      <c r="T2497" s="52"/>
      <c r="U2497" s="52"/>
      <c r="V2497" s="52"/>
      <c r="W2497" s="52"/>
      <c r="X2497" s="52"/>
      <c r="Y2497" s="52"/>
      <c r="Z2497" s="52"/>
      <c r="AA2497" s="52"/>
      <c r="AB2497" s="52"/>
      <c r="AC2497" s="52"/>
      <c r="AD2497" s="52"/>
      <c r="AE2497" s="52"/>
      <c r="AF2497" s="52"/>
      <c r="AG2497" s="52"/>
      <c r="AH2497" s="52"/>
      <c r="AM2497" s="52"/>
      <c r="AN2497" s="52"/>
    </row>
    <row r="2498" spans="16:40" x14ac:dyDescent="0.2">
      <c r="P2498" s="52"/>
      <c r="Q2498" s="52"/>
      <c r="R2498" s="52"/>
      <c r="S2498" s="52"/>
      <c r="T2498" s="52"/>
      <c r="U2498" s="52"/>
      <c r="V2498" s="52"/>
      <c r="W2498" s="52"/>
      <c r="X2498" s="52"/>
      <c r="Y2498" s="52"/>
      <c r="Z2498" s="52"/>
      <c r="AA2498" s="52"/>
      <c r="AB2498" s="52"/>
      <c r="AC2498" s="52"/>
      <c r="AD2498" s="52"/>
      <c r="AE2498" s="52"/>
      <c r="AF2498" s="52"/>
      <c r="AG2498" s="52"/>
      <c r="AH2498" s="52"/>
      <c r="AM2498" s="52"/>
      <c r="AN2498" s="52"/>
    </row>
    <row r="2499" spans="16:40" x14ac:dyDescent="0.2">
      <c r="P2499" s="52"/>
      <c r="Q2499" s="52"/>
      <c r="R2499" s="52"/>
      <c r="S2499" s="52"/>
      <c r="T2499" s="52"/>
      <c r="U2499" s="52"/>
      <c r="V2499" s="52"/>
      <c r="W2499" s="52"/>
      <c r="X2499" s="52"/>
      <c r="Y2499" s="52"/>
      <c r="Z2499" s="52"/>
      <c r="AA2499" s="52"/>
      <c r="AB2499" s="52"/>
      <c r="AC2499" s="52"/>
      <c r="AD2499" s="52"/>
      <c r="AE2499" s="52"/>
      <c r="AF2499" s="52"/>
      <c r="AG2499" s="52"/>
      <c r="AH2499" s="52"/>
      <c r="AM2499" s="52"/>
      <c r="AN2499" s="52"/>
    </row>
    <row r="2500" spans="16:40" x14ac:dyDescent="0.2">
      <c r="P2500" s="52"/>
      <c r="Q2500" s="52"/>
      <c r="R2500" s="52"/>
      <c r="S2500" s="52"/>
      <c r="T2500" s="52"/>
      <c r="U2500" s="52"/>
      <c r="V2500" s="52"/>
      <c r="W2500" s="52"/>
      <c r="X2500" s="52"/>
      <c r="Y2500" s="52"/>
      <c r="Z2500" s="52"/>
      <c r="AA2500" s="52"/>
      <c r="AB2500" s="52"/>
      <c r="AC2500" s="52"/>
      <c r="AD2500" s="52"/>
      <c r="AE2500" s="52"/>
      <c r="AF2500" s="52"/>
      <c r="AG2500" s="52"/>
      <c r="AH2500" s="52"/>
      <c r="AM2500" s="52"/>
      <c r="AN2500" s="52"/>
    </row>
    <row r="2501" spans="16:40" x14ac:dyDescent="0.2">
      <c r="P2501" s="52"/>
      <c r="Q2501" s="52"/>
      <c r="R2501" s="52"/>
      <c r="S2501" s="52"/>
      <c r="T2501" s="52"/>
      <c r="U2501" s="52"/>
      <c r="V2501" s="52"/>
      <c r="W2501" s="52"/>
      <c r="X2501" s="52"/>
      <c r="Y2501" s="52"/>
      <c r="Z2501" s="52"/>
      <c r="AA2501" s="52"/>
      <c r="AB2501" s="52"/>
      <c r="AC2501" s="52"/>
      <c r="AD2501" s="52"/>
      <c r="AE2501" s="52"/>
      <c r="AF2501" s="52"/>
      <c r="AG2501" s="52"/>
      <c r="AH2501" s="52"/>
      <c r="AM2501" s="52"/>
      <c r="AN2501" s="52"/>
    </row>
    <row r="2502" spans="16:40" x14ac:dyDescent="0.2">
      <c r="P2502" s="52"/>
      <c r="Q2502" s="52"/>
      <c r="R2502" s="52"/>
      <c r="S2502" s="52"/>
      <c r="T2502" s="52"/>
      <c r="U2502" s="52"/>
      <c r="V2502" s="52"/>
      <c r="W2502" s="52"/>
      <c r="X2502" s="52"/>
      <c r="Y2502" s="52"/>
      <c r="Z2502" s="52"/>
      <c r="AA2502" s="52"/>
      <c r="AB2502" s="52"/>
      <c r="AC2502" s="52"/>
      <c r="AD2502" s="52"/>
      <c r="AE2502" s="52"/>
      <c r="AF2502" s="52"/>
      <c r="AG2502" s="52"/>
      <c r="AH2502" s="52"/>
      <c r="AM2502" s="52"/>
      <c r="AN2502" s="52"/>
    </row>
    <row r="2503" spans="16:40" x14ac:dyDescent="0.2">
      <c r="P2503" s="52"/>
      <c r="Q2503" s="52"/>
      <c r="R2503" s="52"/>
      <c r="S2503" s="52"/>
      <c r="T2503" s="52"/>
      <c r="U2503" s="52"/>
      <c r="V2503" s="52"/>
      <c r="W2503" s="52"/>
      <c r="X2503" s="52"/>
      <c r="Y2503" s="52"/>
      <c r="Z2503" s="52"/>
      <c r="AA2503" s="52"/>
      <c r="AB2503" s="52"/>
      <c r="AC2503" s="52"/>
      <c r="AD2503" s="52"/>
      <c r="AE2503" s="52"/>
      <c r="AF2503" s="52"/>
      <c r="AG2503" s="52"/>
      <c r="AH2503" s="52"/>
      <c r="AM2503" s="52"/>
      <c r="AN2503" s="52"/>
    </row>
    <row r="2504" spans="16:40" x14ac:dyDescent="0.2">
      <c r="P2504" s="52"/>
      <c r="Q2504" s="52"/>
      <c r="R2504" s="52"/>
      <c r="S2504" s="52"/>
      <c r="T2504" s="52"/>
      <c r="U2504" s="52"/>
      <c r="V2504" s="52"/>
      <c r="W2504" s="52"/>
      <c r="X2504" s="52"/>
      <c r="Y2504" s="52"/>
      <c r="Z2504" s="52"/>
      <c r="AA2504" s="52"/>
      <c r="AB2504" s="52"/>
      <c r="AC2504" s="52"/>
      <c r="AD2504" s="52"/>
      <c r="AE2504" s="52"/>
      <c r="AF2504" s="52"/>
      <c r="AG2504" s="52"/>
      <c r="AH2504" s="52"/>
      <c r="AM2504" s="52"/>
      <c r="AN2504" s="52"/>
    </row>
    <row r="2505" spans="16:40" x14ac:dyDescent="0.2">
      <c r="P2505" s="52"/>
      <c r="Q2505" s="52"/>
      <c r="R2505" s="52"/>
      <c r="S2505" s="52"/>
      <c r="T2505" s="52"/>
      <c r="U2505" s="52"/>
      <c r="V2505" s="52"/>
      <c r="W2505" s="52"/>
      <c r="X2505" s="52"/>
      <c r="Y2505" s="52"/>
      <c r="Z2505" s="52"/>
      <c r="AA2505" s="52"/>
      <c r="AB2505" s="52"/>
      <c r="AC2505" s="52"/>
      <c r="AD2505" s="52"/>
      <c r="AE2505" s="52"/>
      <c r="AF2505" s="52"/>
      <c r="AG2505" s="52"/>
      <c r="AH2505" s="52"/>
      <c r="AM2505" s="52"/>
      <c r="AN2505" s="52"/>
    </row>
    <row r="2506" spans="16:40" x14ac:dyDescent="0.2">
      <c r="P2506" s="52"/>
      <c r="Q2506" s="52"/>
      <c r="R2506" s="52"/>
      <c r="S2506" s="52"/>
      <c r="T2506" s="52"/>
      <c r="U2506" s="52"/>
      <c r="V2506" s="52"/>
      <c r="W2506" s="52"/>
      <c r="X2506" s="52"/>
      <c r="Y2506" s="52"/>
      <c r="Z2506" s="52"/>
      <c r="AA2506" s="52"/>
      <c r="AB2506" s="52"/>
      <c r="AC2506" s="52"/>
      <c r="AD2506" s="52"/>
      <c r="AE2506" s="52"/>
      <c r="AF2506" s="52"/>
      <c r="AG2506" s="52"/>
      <c r="AH2506" s="52"/>
      <c r="AM2506" s="52"/>
      <c r="AN2506" s="52"/>
    </row>
    <row r="2507" spans="16:40" x14ac:dyDescent="0.2">
      <c r="P2507" s="52"/>
      <c r="Q2507" s="52"/>
      <c r="R2507" s="52"/>
      <c r="S2507" s="52"/>
      <c r="T2507" s="52"/>
      <c r="U2507" s="52"/>
      <c r="V2507" s="52"/>
      <c r="W2507" s="52"/>
      <c r="X2507" s="52"/>
      <c r="Y2507" s="52"/>
      <c r="Z2507" s="52"/>
      <c r="AA2507" s="52"/>
      <c r="AB2507" s="52"/>
      <c r="AC2507" s="52"/>
      <c r="AD2507" s="52"/>
      <c r="AE2507" s="52"/>
      <c r="AF2507" s="52"/>
      <c r="AG2507" s="52"/>
      <c r="AH2507" s="52"/>
      <c r="AM2507" s="52"/>
      <c r="AN2507" s="52"/>
    </row>
    <row r="2508" spans="16:40" x14ac:dyDescent="0.2">
      <c r="P2508" s="52"/>
      <c r="Q2508" s="52"/>
      <c r="R2508" s="52"/>
      <c r="S2508" s="52"/>
      <c r="T2508" s="52"/>
      <c r="U2508" s="52"/>
      <c r="V2508" s="52"/>
      <c r="W2508" s="52"/>
      <c r="X2508" s="52"/>
      <c r="Y2508" s="52"/>
      <c r="Z2508" s="52"/>
      <c r="AA2508" s="52"/>
      <c r="AB2508" s="52"/>
      <c r="AC2508" s="52"/>
      <c r="AD2508" s="52"/>
      <c r="AE2508" s="52"/>
      <c r="AF2508" s="52"/>
      <c r="AG2508" s="52"/>
      <c r="AH2508" s="52"/>
      <c r="AM2508" s="52"/>
      <c r="AN2508" s="52"/>
    </row>
    <row r="2509" spans="16:40" x14ac:dyDescent="0.2">
      <c r="P2509" s="52"/>
      <c r="Q2509" s="52"/>
      <c r="R2509" s="52"/>
      <c r="S2509" s="52"/>
      <c r="T2509" s="52"/>
      <c r="U2509" s="52"/>
      <c r="V2509" s="52"/>
      <c r="W2509" s="52"/>
      <c r="X2509" s="52"/>
      <c r="Y2509" s="52"/>
      <c r="Z2509" s="52"/>
      <c r="AA2509" s="52"/>
      <c r="AB2509" s="52"/>
      <c r="AC2509" s="52"/>
      <c r="AD2509" s="52"/>
      <c r="AE2509" s="52"/>
      <c r="AF2509" s="52"/>
      <c r="AG2509" s="52"/>
      <c r="AH2509" s="52"/>
      <c r="AM2509" s="52"/>
      <c r="AN2509" s="52"/>
    </row>
    <row r="2510" spans="16:40" x14ac:dyDescent="0.2">
      <c r="P2510" s="52"/>
      <c r="Q2510" s="52"/>
      <c r="R2510" s="52"/>
      <c r="S2510" s="52"/>
      <c r="T2510" s="52"/>
      <c r="U2510" s="52"/>
      <c r="V2510" s="52"/>
      <c r="W2510" s="52"/>
      <c r="X2510" s="52"/>
      <c r="Y2510" s="52"/>
      <c r="Z2510" s="52"/>
      <c r="AA2510" s="52"/>
      <c r="AB2510" s="52"/>
      <c r="AC2510" s="52"/>
      <c r="AD2510" s="52"/>
      <c r="AE2510" s="52"/>
      <c r="AF2510" s="52"/>
      <c r="AG2510" s="52"/>
      <c r="AH2510" s="52"/>
      <c r="AM2510" s="52"/>
      <c r="AN2510" s="52"/>
    </row>
    <row r="2511" spans="16:40" x14ac:dyDescent="0.2">
      <c r="P2511" s="52"/>
      <c r="Q2511" s="52"/>
      <c r="R2511" s="52"/>
      <c r="S2511" s="52"/>
      <c r="T2511" s="52"/>
      <c r="U2511" s="52"/>
      <c r="V2511" s="52"/>
      <c r="W2511" s="52"/>
      <c r="X2511" s="52"/>
      <c r="Y2511" s="52"/>
      <c r="Z2511" s="52"/>
      <c r="AA2511" s="52"/>
      <c r="AB2511" s="52"/>
      <c r="AC2511" s="52"/>
      <c r="AD2511" s="52"/>
      <c r="AE2511" s="52"/>
      <c r="AF2511" s="52"/>
      <c r="AG2511" s="52"/>
      <c r="AH2511" s="52"/>
      <c r="AM2511" s="52"/>
      <c r="AN2511" s="52"/>
    </row>
    <row r="2512" spans="16:40" x14ac:dyDescent="0.2">
      <c r="P2512" s="52"/>
      <c r="Q2512" s="52"/>
      <c r="R2512" s="52"/>
      <c r="S2512" s="52"/>
      <c r="T2512" s="52"/>
      <c r="U2512" s="52"/>
      <c r="V2512" s="52"/>
      <c r="W2512" s="52"/>
      <c r="X2512" s="52"/>
      <c r="Y2512" s="52"/>
      <c r="Z2512" s="52"/>
      <c r="AA2512" s="52"/>
      <c r="AB2512" s="52"/>
      <c r="AC2512" s="52"/>
      <c r="AD2512" s="52"/>
      <c r="AE2512" s="52"/>
      <c r="AF2512" s="52"/>
      <c r="AG2512" s="52"/>
      <c r="AH2512" s="52"/>
      <c r="AM2512" s="52"/>
      <c r="AN2512" s="52"/>
    </row>
    <row r="2513" spans="16:40" x14ac:dyDescent="0.2">
      <c r="P2513" s="52"/>
      <c r="Q2513" s="52"/>
      <c r="R2513" s="52"/>
      <c r="S2513" s="52"/>
      <c r="T2513" s="52"/>
      <c r="U2513" s="52"/>
      <c r="V2513" s="52"/>
      <c r="W2513" s="52"/>
      <c r="X2513" s="52"/>
      <c r="Y2513" s="52"/>
      <c r="Z2513" s="52"/>
      <c r="AA2513" s="52"/>
      <c r="AB2513" s="52"/>
      <c r="AC2513" s="52"/>
      <c r="AD2513" s="52"/>
      <c r="AE2513" s="52"/>
      <c r="AF2513" s="52"/>
      <c r="AG2513" s="52"/>
      <c r="AH2513" s="52"/>
      <c r="AM2513" s="52"/>
      <c r="AN2513" s="52"/>
    </row>
    <row r="2514" spans="16:40" x14ac:dyDescent="0.2">
      <c r="P2514" s="52"/>
      <c r="Q2514" s="52"/>
      <c r="R2514" s="52"/>
      <c r="S2514" s="52"/>
      <c r="T2514" s="52"/>
      <c r="U2514" s="52"/>
      <c r="V2514" s="52"/>
      <c r="W2514" s="52"/>
      <c r="X2514" s="52"/>
      <c r="Y2514" s="52"/>
      <c r="Z2514" s="52"/>
      <c r="AA2514" s="52"/>
      <c r="AB2514" s="52"/>
      <c r="AC2514" s="52"/>
      <c r="AD2514" s="52"/>
      <c r="AE2514" s="52"/>
      <c r="AF2514" s="52"/>
      <c r="AG2514" s="52"/>
      <c r="AH2514" s="52"/>
      <c r="AM2514" s="52"/>
      <c r="AN2514" s="52"/>
    </row>
    <row r="2515" spans="16:40" x14ac:dyDescent="0.2">
      <c r="P2515" s="52"/>
      <c r="Q2515" s="52"/>
      <c r="R2515" s="52"/>
      <c r="S2515" s="52"/>
      <c r="T2515" s="52"/>
      <c r="U2515" s="52"/>
      <c r="V2515" s="52"/>
      <c r="W2515" s="52"/>
      <c r="X2515" s="52"/>
      <c r="Y2515" s="52"/>
      <c r="Z2515" s="52"/>
      <c r="AA2515" s="52"/>
      <c r="AB2515" s="52"/>
      <c r="AC2515" s="52"/>
      <c r="AD2515" s="52"/>
      <c r="AE2515" s="52"/>
      <c r="AF2515" s="52"/>
      <c r="AG2515" s="52"/>
      <c r="AH2515" s="52"/>
      <c r="AM2515" s="52"/>
      <c r="AN2515" s="52"/>
    </row>
    <row r="2516" spans="16:40" x14ac:dyDescent="0.2">
      <c r="P2516" s="52"/>
      <c r="Q2516" s="52"/>
      <c r="R2516" s="52"/>
      <c r="S2516" s="52"/>
      <c r="T2516" s="52"/>
      <c r="U2516" s="52"/>
      <c r="V2516" s="52"/>
      <c r="W2516" s="52"/>
      <c r="X2516" s="52"/>
      <c r="Y2516" s="52"/>
      <c r="Z2516" s="52"/>
      <c r="AA2516" s="52"/>
      <c r="AB2516" s="52"/>
      <c r="AC2516" s="52"/>
      <c r="AD2516" s="52"/>
      <c r="AE2516" s="52"/>
      <c r="AF2516" s="52"/>
      <c r="AG2516" s="52"/>
      <c r="AH2516" s="52"/>
      <c r="AM2516" s="52"/>
      <c r="AN2516" s="52"/>
    </row>
    <row r="2517" spans="16:40" x14ac:dyDescent="0.2">
      <c r="P2517" s="52"/>
      <c r="Q2517" s="52"/>
      <c r="R2517" s="52"/>
      <c r="S2517" s="52"/>
      <c r="T2517" s="52"/>
      <c r="U2517" s="52"/>
      <c r="V2517" s="52"/>
      <c r="W2517" s="52"/>
      <c r="X2517" s="52"/>
      <c r="Y2517" s="52"/>
      <c r="Z2517" s="52"/>
      <c r="AA2517" s="52"/>
      <c r="AB2517" s="52"/>
      <c r="AC2517" s="52"/>
      <c r="AD2517" s="52"/>
      <c r="AE2517" s="52"/>
      <c r="AF2517" s="52"/>
      <c r="AG2517" s="52"/>
      <c r="AH2517" s="52"/>
      <c r="AM2517" s="52"/>
      <c r="AN2517" s="52"/>
    </row>
    <row r="2518" spans="16:40" x14ac:dyDescent="0.2">
      <c r="P2518" s="52"/>
      <c r="Q2518" s="52"/>
      <c r="R2518" s="52"/>
      <c r="S2518" s="52"/>
      <c r="T2518" s="52"/>
      <c r="U2518" s="52"/>
      <c r="V2518" s="52"/>
      <c r="W2518" s="52"/>
      <c r="X2518" s="52"/>
      <c r="Y2518" s="52"/>
      <c r="Z2518" s="52"/>
      <c r="AA2518" s="52"/>
      <c r="AB2518" s="52"/>
      <c r="AC2518" s="52"/>
      <c r="AD2518" s="52"/>
      <c r="AE2518" s="52"/>
      <c r="AF2518" s="52"/>
      <c r="AG2518" s="52"/>
      <c r="AH2518" s="52"/>
      <c r="AM2518" s="52"/>
      <c r="AN2518" s="52"/>
    </row>
    <row r="2519" spans="16:40" x14ac:dyDescent="0.2">
      <c r="P2519" s="52"/>
      <c r="Q2519" s="52"/>
      <c r="R2519" s="52"/>
      <c r="S2519" s="52"/>
      <c r="T2519" s="52"/>
      <c r="U2519" s="52"/>
      <c r="V2519" s="52"/>
      <c r="W2519" s="52"/>
      <c r="X2519" s="52"/>
      <c r="Y2519" s="52"/>
      <c r="Z2519" s="52"/>
      <c r="AA2519" s="52"/>
      <c r="AB2519" s="52"/>
      <c r="AC2519" s="52"/>
      <c r="AD2519" s="52"/>
      <c r="AE2519" s="52"/>
      <c r="AF2519" s="52"/>
      <c r="AG2519" s="52"/>
      <c r="AH2519" s="52"/>
      <c r="AM2519" s="52"/>
      <c r="AN2519" s="52"/>
    </row>
    <row r="2520" spans="16:40" x14ac:dyDescent="0.2">
      <c r="P2520" s="52"/>
      <c r="Q2520" s="52"/>
      <c r="R2520" s="52"/>
      <c r="S2520" s="52"/>
      <c r="T2520" s="52"/>
      <c r="U2520" s="52"/>
      <c r="V2520" s="52"/>
      <c r="W2520" s="52"/>
      <c r="X2520" s="52"/>
      <c r="Y2520" s="52"/>
      <c r="Z2520" s="52"/>
      <c r="AA2520" s="52"/>
      <c r="AB2520" s="52"/>
      <c r="AC2520" s="52"/>
      <c r="AD2520" s="52"/>
      <c r="AE2520" s="52"/>
      <c r="AF2520" s="52"/>
      <c r="AG2520" s="52"/>
      <c r="AH2520" s="52"/>
      <c r="AM2520" s="52"/>
      <c r="AN2520" s="52"/>
    </row>
    <row r="2521" spans="16:40" x14ac:dyDescent="0.2">
      <c r="P2521" s="52"/>
      <c r="Q2521" s="52"/>
      <c r="R2521" s="52"/>
      <c r="S2521" s="52"/>
      <c r="T2521" s="52"/>
      <c r="U2521" s="52"/>
      <c r="V2521" s="52"/>
      <c r="W2521" s="52"/>
      <c r="X2521" s="52"/>
      <c r="Y2521" s="52"/>
      <c r="Z2521" s="52"/>
      <c r="AA2521" s="52"/>
      <c r="AB2521" s="52"/>
      <c r="AC2521" s="52"/>
      <c r="AD2521" s="52"/>
      <c r="AE2521" s="52"/>
      <c r="AF2521" s="52"/>
      <c r="AG2521" s="52"/>
      <c r="AH2521" s="52"/>
      <c r="AM2521" s="52"/>
      <c r="AN2521" s="52"/>
    </row>
    <row r="2522" spans="16:40" x14ac:dyDescent="0.2">
      <c r="P2522" s="52"/>
      <c r="Q2522" s="52"/>
      <c r="R2522" s="52"/>
      <c r="S2522" s="52"/>
      <c r="T2522" s="52"/>
      <c r="U2522" s="52"/>
      <c r="V2522" s="52"/>
      <c r="W2522" s="52"/>
      <c r="X2522" s="52"/>
      <c r="Y2522" s="52"/>
      <c r="Z2522" s="52"/>
      <c r="AA2522" s="52"/>
      <c r="AB2522" s="52"/>
      <c r="AC2522" s="52"/>
      <c r="AD2522" s="52"/>
      <c r="AE2522" s="52"/>
      <c r="AF2522" s="52"/>
      <c r="AG2522" s="52"/>
      <c r="AH2522" s="52"/>
      <c r="AM2522" s="52"/>
      <c r="AN2522" s="52"/>
    </row>
    <row r="2523" spans="16:40" x14ac:dyDescent="0.2">
      <c r="P2523" s="52"/>
      <c r="Q2523" s="52"/>
      <c r="R2523" s="52"/>
      <c r="S2523" s="52"/>
      <c r="T2523" s="52"/>
      <c r="U2523" s="52"/>
      <c r="V2523" s="52"/>
      <c r="W2523" s="52"/>
      <c r="X2523" s="52"/>
      <c r="Y2523" s="52"/>
      <c r="Z2523" s="52"/>
      <c r="AA2523" s="52"/>
      <c r="AB2523" s="52"/>
      <c r="AC2523" s="52"/>
      <c r="AD2523" s="52"/>
      <c r="AE2523" s="52"/>
      <c r="AF2523" s="52"/>
      <c r="AG2523" s="52"/>
      <c r="AH2523" s="52"/>
      <c r="AM2523" s="52"/>
      <c r="AN2523" s="52"/>
    </row>
    <row r="2524" spans="16:40" x14ac:dyDescent="0.2">
      <c r="P2524" s="52"/>
      <c r="Q2524" s="52"/>
      <c r="R2524" s="52"/>
      <c r="S2524" s="52"/>
      <c r="T2524" s="52"/>
      <c r="U2524" s="52"/>
      <c r="V2524" s="52"/>
      <c r="W2524" s="52"/>
      <c r="X2524" s="52"/>
      <c r="Y2524" s="52"/>
      <c r="Z2524" s="52"/>
      <c r="AA2524" s="52"/>
      <c r="AB2524" s="52"/>
      <c r="AC2524" s="52"/>
      <c r="AD2524" s="52"/>
      <c r="AE2524" s="52"/>
      <c r="AF2524" s="52"/>
      <c r="AG2524" s="52"/>
      <c r="AH2524" s="52"/>
      <c r="AM2524" s="52"/>
      <c r="AN2524" s="52"/>
    </row>
    <row r="2525" spans="16:40" x14ac:dyDescent="0.2">
      <c r="P2525" s="52"/>
      <c r="Q2525" s="52"/>
      <c r="R2525" s="52"/>
      <c r="S2525" s="52"/>
      <c r="T2525" s="52"/>
      <c r="U2525" s="52"/>
      <c r="V2525" s="52"/>
      <c r="W2525" s="52"/>
      <c r="X2525" s="52"/>
      <c r="Y2525" s="52"/>
      <c r="Z2525" s="52"/>
      <c r="AA2525" s="52"/>
      <c r="AB2525" s="52"/>
      <c r="AC2525" s="52"/>
      <c r="AD2525" s="52"/>
      <c r="AE2525" s="52"/>
      <c r="AF2525" s="52"/>
      <c r="AG2525" s="52"/>
      <c r="AH2525" s="52"/>
      <c r="AM2525" s="52"/>
      <c r="AN2525" s="52"/>
    </row>
    <row r="2526" spans="16:40" x14ac:dyDescent="0.2">
      <c r="P2526" s="52"/>
      <c r="Q2526" s="52"/>
      <c r="R2526" s="52"/>
      <c r="S2526" s="52"/>
      <c r="T2526" s="52"/>
      <c r="U2526" s="52"/>
      <c r="V2526" s="52"/>
      <c r="W2526" s="52"/>
      <c r="X2526" s="52"/>
      <c r="Y2526" s="52"/>
      <c r="Z2526" s="52"/>
      <c r="AA2526" s="52"/>
      <c r="AB2526" s="52"/>
      <c r="AC2526" s="52"/>
      <c r="AD2526" s="52"/>
      <c r="AE2526" s="52"/>
      <c r="AF2526" s="52"/>
      <c r="AG2526" s="52"/>
      <c r="AH2526" s="52"/>
      <c r="AM2526" s="52"/>
      <c r="AN2526" s="52"/>
    </row>
    <row r="2527" spans="16:40" x14ac:dyDescent="0.2">
      <c r="P2527" s="52"/>
      <c r="Q2527" s="52"/>
      <c r="R2527" s="52"/>
      <c r="S2527" s="52"/>
      <c r="T2527" s="52"/>
      <c r="U2527" s="52"/>
      <c r="V2527" s="52"/>
      <c r="W2527" s="52"/>
      <c r="X2527" s="52"/>
      <c r="Y2527" s="52"/>
      <c r="Z2527" s="52"/>
      <c r="AA2527" s="52"/>
      <c r="AB2527" s="52"/>
      <c r="AC2527" s="52"/>
      <c r="AD2527" s="52"/>
      <c r="AE2527" s="52"/>
      <c r="AF2527" s="52"/>
      <c r="AG2527" s="52"/>
      <c r="AH2527" s="52"/>
      <c r="AM2527" s="52"/>
      <c r="AN2527" s="52"/>
    </row>
    <row r="2528" spans="16:40" x14ac:dyDescent="0.2">
      <c r="P2528" s="52"/>
      <c r="Q2528" s="52"/>
      <c r="R2528" s="52"/>
      <c r="S2528" s="52"/>
      <c r="T2528" s="52"/>
      <c r="U2528" s="52"/>
      <c r="V2528" s="52"/>
      <c r="W2528" s="52"/>
      <c r="X2528" s="52"/>
      <c r="Y2528" s="52"/>
      <c r="Z2528" s="52"/>
      <c r="AA2528" s="52"/>
      <c r="AB2528" s="52"/>
      <c r="AC2528" s="52"/>
      <c r="AD2528" s="52"/>
      <c r="AE2528" s="52"/>
      <c r="AF2528" s="52"/>
      <c r="AG2528" s="52"/>
      <c r="AH2528" s="52"/>
      <c r="AM2528" s="52"/>
      <c r="AN2528" s="52"/>
    </row>
    <row r="2529" spans="16:40" x14ac:dyDescent="0.2">
      <c r="P2529" s="52"/>
      <c r="Q2529" s="52"/>
      <c r="R2529" s="52"/>
      <c r="S2529" s="52"/>
      <c r="T2529" s="52"/>
      <c r="U2529" s="52"/>
      <c r="V2529" s="52"/>
      <c r="W2529" s="52"/>
      <c r="X2529" s="52"/>
      <c r="Y2529" s="52"/>
      <c r="Z2529" s="52"/>
      <c r="AA2529" s="52"/>
      <c r="AB2529" s="52"/>
      <c r="AC2529" s="52"/>
      <c r="AD2529" s="52"/>
      <c r="AE2529" s="52"/>
      <c r="AF2529" s="52"/>
      <c r="AG2529" s="52"/>
      <c r="AH2529" s="52"/>
      <c r="AM2529" s="52"/>
      <c r="AN2529" s="52"/>
    </row>
    <row r="2530" spans="16:40" x14ac:dyDescent="0.2"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2"/>
      <c r="AA2530" s="52"/>
      <c r="AB2530" s="52"/>
      <c r="AC2530" s="52"/>
      <c r="AD2530" s="52"/>
      <c r="AE2530" s="52"/>
      <c r="AF2530" s="52"/>
      <c r="AG2530" s="52"/>
      <c r="AH2530" s="52"/>
      <c r="AM2530" s="52"/>
      <c r="AN2530" s="52"/>
    </row>
    <row r="2531" spans="16:40" x14ac:dyDescent="0.2">
      <c r="P2531" s="52"/>
      <c r="Q2531" s="52"/>
      <c r="R2531" s="52"/>
      <c r="S2531" s="52"/>
      <c r="T2531" s="52"/>
      <c r="U2531" s="52"/>
      <c r="V2531" s="52"/>
      <c r="W2531" s="52"/>
      <c r="X2531" s="52"/>
      <c r="Y2531" s="52"/>
      <c r="Z2531" s="52"/>
      <c r="AA2531" s="52"/>
      <c r="AB2531" s="52"/>
      <c r="AC2531" s="52"/>
      <c r="AD2531" s="52"/>
      <c r="AE2531" s="52"/>
      <c r="AF2531" s="52"/>
      <c r="AG2531" s="52"/>
      <c r="AH2531" s="52"/>
      <c r="AM2531" s="52"/>
      <c r="AN2531" s="52"/>
    </row>
    <row r="2532" spans="16:40" x14ac:dyDescent="0.2">
      <c r="P2532" s="52"/>
      <c r="Q2532" s="52"/>
      <c r="R2532" s="52"/>
      <c r="S2532" s="52"/>
      <c r="T2532" s="52"/>
      <c r="U2532" s="52"/>
      <c r="V2532" s="52"/>
      <c r="W2532" s="52"/>
      <c r="X2532" s="52"/>
      <c r="Y2532" s="52"/>
      <c r="Z2532" s="52"/>
      <c r="AA2532" s="52"/>
      <c r="AB2532" s="52"/>
      <c r="AC2532" s="52"/>
      <c r="AD2532" s="52"/>
      <c r="AE2532" s="52"/>
      <c r="AF2532" s="52"/>
      <c r="AG2532" s="52"/>
      <c r="AH2532" s="52"/>
      <c r="AM2532" s="52"/>
      <c r="AN2532" s="52"/>
    </row>
    <row r="2533" spans="16:40" x14ac:dyDescent="0.2">
      <c r="P2533" s="52"/>
      <c r="Q2533" s="52"/>
      <c r="R2533" s="52"/>
      <c r="S2533" s="52"/>
      <c r="T2533" s="52"/>
      <c r="U2533" s="52"/>
      <c r="V2533" s="52"/>
      <c r="W2533" s="52"/>
      <c r="X2533" s="52"/>
      <c r="Y2533" s="52"/>
      <c r="Z2533" s="52"/>
      <c r="AA2533" s="52"/>
      <c r="AB2533" s="52"/>
      <c r="AC2533" s="52"/>
      <c r="AD2533" s="52"/>
      <c r="AE2533" s="52"/>
      <c r="AF2533" s="52"/>
      <c r="AG2533" s="52"/>
      <c r="AH2533" s="52"/>
      <c r="AM2533" s="52"/>
      <c r="AN2533" s="52"/>
    </row>
    <row r="2534" spans="16:40" x14ac:dyDescent="0.2">
      <c r="P2534" s="52"/>
      <c r="Q2534" s="52"/>
      <c r="R2534" s="52"/>
      <c r="S2534" s="52"/>
      <c r="T2534" s="52"/>
      <c r="U2534" s="52"/>
      <c r="V2534" s="52"/>
      <c r="W2534" s="52"/>
      <c r="X2534" s="52"/>
      <c r="Y2534" s="52"/>
      <c r="Z2534" s="52"/>
      <c r="AA2534" s="52"/>
      <c r="AB2534" s="52"/>
      <c r="AC2534" s="52"/>
      <c r="AD2534" s="52"/>
      <c r="AE2534" s="52"/>
      <c r="AF2534" s="52"/>
      <c r="AG2534" s="52"/>
      <c r="AH2534" s="52"/>
      <c r="AM2534" s="52"/>
      <c r="AN2534" s="52"/>
    </row>
    <row r="2535" spans="16:40" x14ac:dyDescent="0.2">
      <c r="P2535" s="52"/>
      <c r="Q2535" s="52"/>
      <c r="R2535" s="52"/>
      <c r="S2535" s="52"/>
      <c r="T2535" s="52"/>
      <c r="U2535" s="52"/>
      <c r="V2535" s="52"/>
      <c r="W2535" s="52"/>
      <c r="X2535" s="52"/>
      <c r="Y2535" s="52"/>
      <c r="Z2535" s="52"/>
      <c r="AA2535" s="52"/>
      <c r="AB2535" s="52"/>
      <c r="AC2535" s="52"/>
      <c r="AD2535" s="52"/>
      <c r="AE2535" s="52"/>
      <c r="AF2535" s="52"/>
      <c r="AG2535" s="52"/>
      <c r="AH2535" s="52"/>
      <c r="AM2535" s="52"/>
      <c r="AN2535" s="52"/>
    </row>
    <row r="2536" spans="16:40" x14ac:dyDescent="0.2">
      <c r="P2536" s="52"/>
      <c r="Q2536" s="52"/>
      <c r="R2536" s="52"/>
      <c r="S2536" s="52"/>
      <c r="T2536" s="52"/>
      <c r="U2536" s="52"/>
      <c r="V2536" s="52"/>
      <c r="W2536" s="52"/>
      <c r="X2536" s="52"/>
      <c r="Y2536" s="52"/>
      <c r="Z2536" s="52"/>
      <c r="AA2536" s="52"/>
      <c r="AB2536" s="52"/>
      <c r="AC2536" s="52"/>
      <c r="AD2536" s="52"/>
      <c r="AE2536" s="52"/>
      <c r="AF2536" s="52"/>
      <c r="AG2536" s="52"/>
      <c r="AH2536" s="52"/>
      <c r="AM2536" s="52"/>
      <c r="AN2536" s="52"/>
    </row>
    <row r="2537" spans="16:40" x14ac:dyDescent="0.2">
      <c r="P2537" s="52"/>
      <c r="Q2537" s="52"/>
      <c r="R2537" s="52"/>
      <c r="S2537" s="52"/>
      <c r="T2537" s="52"/>
      <c r="U2537" s="52"/>
      <c r="V2537" s="52"/>
      <c r="W2537" s="52"/>
      <c r="X2537" s="52"/>
      <c r="Y2537" s="52"/>
      <c r="Z2537" s="52"/>
      <c r="AA2537" s="52"/>
      <c r="AB2537" s="52"/>
      <c r="AC2537" s="52"/>
      <c r="AD2537" s="52"/>
      <c r="AE2537" s="52"/>
      <c r="AF2537" s="52"/>
      <c r="AG2537" s="52"/>
      <c r="AH2537" s="52"/>
      <c r="AM2537" s="52"/>
      <c r="AN2537" s="52"/>
    </row>
    <row r="2538" spans="16:40" x14ac:dyDescent="0.2">
      <c r="P2538" s="52"/>
      <c r="Q2538" s="52"/>
      <c r="R2538" s="52"/>
      <c r="S2538" s="52"/>
      <c r="T2538" s="52"/>
      <c r="U2538" s="52"/>
      <c r="V2538" s="52"/>
      <c r="W2538" s="52"/>
      <c r="X2538" s="52"/>
      <c r="Y2538" s="52"/>
      <c r="Z2538" s="52"/>
      <c r="AA2538" s="52"/>
      <c r="AB2538" s="52"/>
      <c r="AC2538" s="52"/>
      <c r="AD2538" s="52"/>
      <c r="AE2538" s="52"/>
      <c r="AF2538" s="52"/>
      <c r="AG2538" s="52"/>
      <c r="AH2538" s="52"/>
      <c r="AM2538" s="52"/>
      <c r="AN2538" s="52"/>
    </row>
    <row r="2539" spans="16:40" x14ac:dyDescent="0.2">
      <c r="P2539" s="52"/>
      <c r="Q2539" s="52"/>
      <c r="R2539" s="52"/>
      <c r="S2539" s="52"/>
      <c r="T2539" s="52"/>
      <c r="U2539" s="52"/>
      <c r="V2539" s="52"/>
      <c r="W2539" s="52"/>
      <c r="X2539" s="52"/>
      <c r="Y2539" s="52"/>
      <c r="Z2539" s="52"/>
      <c r="AA2539" s="52"/>
      <c r="AB2539" s="52"/>
      <c r="AC2539" s="52"/>
      <c r="AD2539" s="52"/>
      <c r="AE2539" s="52"/>
      <c r="AF2539" s="52"/>
      <c r="AG2539" s="52"/>
      <c r="AH2539" s="52"/>
      <c r="AM2539" s="52"/>
      <c r="AN2539" s="52"/>
    </row>
    <row r="2540" spans="16:40" x14ac:dyDescent="0.2">
      <c r="P2540" s="52"/>
      <c r="Q2540" s="52"/>
      <c r="R2540" s="52"/>
      <c r="S2540" s="52"/>
      <c r="T2540" s="52"/>
      <c r="U2540" s="52"/>
      <c r="V2540" s="52"/>
      <c r="W2540" s="52"/>
      <c r="X2540" s="52"/>
      <c r="Y2540" s="52"/>
      <c r="Z2540" s="52"/>
      <c r="AA2540" s="52"/>
      <c r="AB2540" s="52"/>
      <c r="AC2540" s="52"/>
      <c r="AD2540" s="52"/>
      <c r="AE2540" s="52"/>
      <c r="AF2540" s="52"/>
      <c r="AG2540" s="52"/>
      <c r="AH2540" s="52"/>
      <c r="AM2540" s="52"/>
      <c r="AN2540" s="52"/>
    </row>
    <row r="2541" spans="16:40" x14ac:dyDescent="0.2">
      <c r="P2541" s="52"/>
      <c r="Q2541" s="52"/>
      <c r="R2541" s="52"/>
      <c r="S2541" s="52"/>
      <c r="T2541" s="52"/>
      <c r="U2541" s="52"/>
      <c r="V2541" s="52"/>
      <c r="W2541" s="52"/>
      <c r="X2541" s="52"/>
      <c r="Y2541" s="52"/>
      <c r="Z2541" s="52"/>
      <c r="AA2541" s="52"/>
      <c r="AB2541" s="52"/>
      <c r="AC2541" s="52"/>
      <c r="AD2541" s="52"/>
      <c r="AE2541" s="52"/>
      <c r="AF2541" s="52"/>
      <c r="AG2541" s="52"/>
      <c r="AH2541" s="52"/>
      <c r="AM2541" s="52"/>
      <c r="AN2541" s="52"/>
    </row>
    <row r="2542" spans="16:40" x14ac:dyDescent="0.2">
      <c r="P2542" s="52"/>
      <c r="Q2542" s="52"/>
      <c r="R2542" s="52"/>
      <c r="S2542" s="52"/>
      <c r="T2542" s="52"/>
      <c r="U2542" s="52"/>
      <c r="V2542" s="52"/>
      <c r="W2542" s="52"/>
      <c r="X2542" s="52"/>
      <c r="Y2542" s="52"/>
      <c r="Z2542" s="52"/>
      <c r="AA2542" s="52"/>
      <c r="AB2542" s="52"/>
      <c r="AC2542" s="52"/>
      <c r="AD2542" s="52"/>
      <c r="AE2542" s="52"/>
      <c r="AF2542" s="52"/>
      <c r="AG2542" s="52"/>
      <c r="AH2542" s="52"/>
      <c r="AM2542" s="52"/>
      <c r="AN2542" s="52"/>
    </row>
    <row r="2543" spans="16:40" x14ac:dyDescent="0.2">
      <c r="P2543" s="52"/>
      <c r="Q2543" s="52"/>
      <c r="R2543" s="52"/>
      <c r="S2543" s="52"/>
      <c r="T2543" s="52"/>
      <c r="U2543" s="52"/>
      <c r="V2543" s="52"/>
      <c r="W2543" s="52"/>
      <c r="X2543" s="52"/>
      <c r="Y2543" s="52"/>
      <c r="Z2543" s="52"/>
      <c r="AA2543" s="52"/>
      <c r="AB2543" s="52"/>
      <c r="AC2543" s="52"/>
      <c r="AD2543" s="52"/>
      <c r="AE2543" s="52"/>
      <c r="AF2543" s="52"/>
      <c r="AG2543" s="52"/>
      <c r="AH2543" s="52"/>
      <c r="AM2543" s="52"/>
      <c r="AN2543" s="52"/>
    </row>
    <row r="2544" spans="16:40" x14ac:dyDescent="0.2">
      <c r="P2544" s="52"/>
      <c r="Q2544" s="52"/>
      <c r="R2544" s="52"/>
      <c r="S2544" s="52"/>
      <c r="T2544" s="52"/>
      <c r="U2544" s="52"/>
      <c r="V2544" s="52"/>
      <c r="W2544" s="52"/>
      <c r="X2544" s="52"/>
      <c r="Y2544" s="52"/>
      <c r="Z2544" s="52"/>
      <c r="AA2544" s="52"/>
      <c r="AB2544" s="52"/>
      <c r="AC2544" s="52"/>
      <c r="AD2544" s="52"/>
      <c r="AE2544" s="52"/>
      <c r="AF2544" s="52"/>
      <c r="AG2544" s="52"/>
      <c r="AH2544" s="52"/>
      <c r="AM2544" s="52"/>
      <c r="AN2544" s="52"/>
    </row>
    <row r="2545" spans="16:40" x14ac:dyDescent="0.2">
      <c r="P2545" s="52"/>
      <c r="Q2545" s="52"/>
      <c r="R2545" s="52"/>
      <c r="S2545" s="52"/>
      <c r="T2545" s="52"/>
      <c r="U2545" s="52"/>
      <c r="V2545" s="52"/>
      <c r="W2545" s="52"/>
      <c r="X2545" s="52"/>
      <c r="Y2545" s="52"/>
      <c r="Z2545" s="52"/>
      <c r="AA2545" s="52"/>
      <c r="AB2545" s="52"/>
      <c r="AC2545" s="52"/>
      <c r="AD2545" s="52"/>
      <c r="AE2545" s="52"/>
      <c r="AF2545" s="52"/>
      <c r="AG2545" s="52"/>
      <c r="AH2545" s="52"/>
      <c r="AM2545" s="52"/>
      <c r="AN2545" s="52"/>
    </row>
    <row r="2546" spans="16:40" x14ac:dyDescent="0.2">
      <c r="P2546" s="52"/>
      <c r="Q2546" s="52"/>
      <c r="R2546" s="52"/>
      <c r="S2546" s="52"/>
      <c r="T2546" s="52"/>
      <c r="U2546" s="52"/>
      <c r="V2546" s="52"/>
      <c r="W2546" s="52"/>
      <c r="X2546" s="52"/>
      <c r="Y2546" s="52"/>
      <c r="Z2546" s="52"/>
      <c r="AA2546" s="52"/>
      <c r="AB2546" s="52"/>
      <c r="AC2546" s="52"/>
      <c r="AD2546" s="52"/>
      <c r="AE2546" s="52"/>
      <c r="AF2546" s="52"/>
      <c r="AG2546" s="52"/>
      <c r="AH2546" s="52"/>
      <c r="AM2546" s="52"/>
      <c r="AN2546" s="52"/>
    </row>
    <row r="2547" spans="16:40" x14ac:dyDescent="0.2">
      <c r="P2547" s="52"/>
      <c r="Q2547" s="52"/>
      <c r="R2547" s="52"/>
      <c r="S2547" s="52"/>
      <c r="T2547" s="52"/>
      <c r="U2547" s="52"/>
      <c r="V2547" s="52"/>
      <c r="W2547" s="52"/>
      <c r="X2547" s="52"/>
      <c r="Y2547" s="52"/>
      <c r="Z2547" s="52"/>
      <c r="AA2547" s="52"/>
      <c r="AB2547" s="52"/>
      <c r="AC2547" s="52"/>
      <c r="AD2547" s="52"/>
      <c r="AE2547" s="52"/>
      <c r="AF2547" s="52"/>
      <c r="AG2547" s="52"/>
      <c r="AH2547" s="52"/>
      <c r="AM2547" s="52"/>
      <c r="AN2547" s="52"/>
    </row>
    <row r="2548" spans="16:40" x14ac:dyDescent="0.2">
      <c r="P2548" s="52"/>
      <c r="Q2548" s="52"/>
      <c r="R2548" s="52"/>
      <c r="S2548" s="52"/>
      <c r="T2548" s="52"/>
      <c r="U2548" s="52"/>
      <c r="V2548" s="52"/>
      <c r="W2548" s="52"/>
      <c r="X2548" s="52"/>
      <c r="Y2548" s="52"/>
      <c r="Z2548" s="52"/>
      <c r="AA2548" s="52"/>
      <c r="AB2548" s="52"/>
      <c r="AC2548" s="52"/>
      <c r="AD2548" s="52"/>
      <c r="AE2548" s="52"/>
      <c r="AF2548" s="52"/>
      <c r="AG2548" s="52"/>
      <c r="AH2548" s="52"/>
      <c r="AM2548" s="52"/>
      <c r="AN2548" s="52"/>
    </row>
    <row r="2549" spans="16:40" x14ac:dyDescent="0.2">
      <c r="P2549" s="52"/>
      <c r="Q2549" s="52"/>
      <c r="R2549" s="52"/>
      <c r="S2549" s="52"/>
      <c r="T2549" s="52"/>
      <c r="U2549" s="52"/>
      <c r="V2549" s="52"/>
      <c r="W2549" s="52"/>
      <c r="X2549" s="52"/>
      <c r="Y2549" s="52"/>
      <c r="Z2549" s="52"/>
      <c r="AA2549" s="52"/>
      <c r="AB2549" s="52"/>
      <c r="AC2549" s="52"/>
      <c r="AD2549" s="52"/>
      <c r="AE2549" s="52"/>
      <c r="AF2549" s="52"/>
      <c r="AG2549" s="52"/>
      <c r="AH2549" s="52"/>
      <c r="AM2549" s="52"/>
      <c r="AN2549" s="52"/>
    </row>
    <row r="2550" spans="16:40" x14ac:dyDescent="0.2">
      <c r="P2550" s="52"/>
      <c r="Q2550" s="52"/>
      <c r="R2550" s="52"/>
      <c r="S2550" s="52"/>
      <c r="T2550" s="52"/>
      <c r="U2550" s="52"/>
      <c r="V2550" s="52"/>
      <c r="W2550" s="52"/>
      <c r="X2550" s="52"/>
      <c r="Y2550" s="52"/>
      <c r="Z2550" s="52"/>
      <c r="AA2550" s="52"/>
      <c r="AB2550" s="52"/>
      <c r="AC2550" s="52"/>
      <c r="AD2550" s="52"/>
      <c r="AE2550" s="52"/>
      <c r="AF2550" s="52"/>
      <c r="AG2550" s="52"/>
      <c r="AH2550" s="52"/>
      <c r="AM2550" s="52"/>
      <c r="AN2550" s="52"/>
    </row>
    <row r="2551" spans="16:40" x14ac:dyDescent="0.2">
      <c r="P2551" s="52"/>
      <c r="Q2551" s="52"/>
      <c r="R2551" s="52"/>
      <c r="S2551" s="52"/>
      <c r="T2551" s="52"/>
      <c r="U2551" s="52"/>
      <c r="V2551" s="52"/>
      <c r="W2551" s="52"/>
      <c r="X2551" s="52"/>
      <c r="Y2551" s="52"/>
      <c r="Z2551" s="52"/>
      <c r="AA2551" s="52"/>
      <c r="AB2551" s="52"/>
      <c r="AC2551" s="52"/>
      <c r="AD2551" s="52"/>
      <c r="AE2551" s="52"/>
      <c r="AF2551" s="52"/>
      <c r="AG2551" s="52"/>
      <c r="AH2551" s="52"/>
      <c r="AM2551" s="52"/>
      <c r="AN2551" s="52"/>
    </row>
    <row r="2552" spans="16:40" x14ac:dyDescent="0.2">
      <c r="P2552" s="52"/>
      <c r="Q2552" s="52"/>
      <c r="R2552" s="52"/>
      <c r="S2552" s="52"/>
      <c r="T2552" s="52"/>
      <c r="U2552" s="52"/>
      <c r="V2552" s="52"/>
      <c r="W2552" s="52"/>
      <c r="X2552" s="52"/>
      <c r="Y2552" s="52"/>
      <c r="Z2552" s="52"/>
      <c r="AA2552" s="52"/>
      <c r="AB2552" s="52"/>
      <c r="AC2552" s="52"/>
      <c r="AD2552" s="52"/>
      <c r="AE2552" s="52"/>
      <c r="AF2552" s="52"/>
      <c r="AG2552" s="52"/>
      <c r="AH2552" s="52"/>
      <c r="AM2552" s="52"/>
      <c r="AN2552" s="52"/>
    </row>
    <row r="2553" spans="16:40" x14ac:dyDescent="0.2">
      <c r="P2553" s="52"/>
      <c r="Q2553" s="52"/>
      <c r="R2553" s="52"/>
      <c r="S2553" s="52"/>
      <c r="T2553" s="52"/>
      <c r="U2553" s="52"/>
      <c r="V2553" s="52"/>
      <c r="W2553" s="52"/>
      <c r="X2553" s="52"/>
      <c r="Y2553" s="52"/>
      <c r="Z2553" s="52"/>
      <c r="AA2553" s="52"/>
      <c r="AB2553" s="52"/>
      <c r="AC2553" s="52"/>
      <c r="AD2553" s="52"/>
      <c r="AE2553" s="52"/>
      <c r="AF2553" s="52"/>
      <c r="AG2553" s="52"/>
      <c r="AH2553" s="52"/>
      <c r="AM2553" s="52"/>
      <c r="AN2553" s="52"/>
    </row>
    <row r="2554" spans="16:40" x14ac:dyDescent="0.2">
      <c r="P2554" s="52"/>
      <c r="Q2554" s="52"/>
      <c r="R2554" s="52"/>
      <c r="S2554" s="52"/>
      <c r="T2554" s="52"/>
      <c r="U2554" s="52"/>
      <c r="V2554" s="52"/>
      <c r="W2554" s="52"/>
      <c r="X2554" s="52"/>
      <c r="Y2554" s="52"/>
      <c r="Z2554" s="52"/>
      <c r="AA2554" s="52"/>
      <c r="AB2554" s="52"/>
      <c r="AC2554" s="52"/>
      <c r="AD2554" s="52"/>
      <c r="AE2554" s="52"/>
      <c r="AF2554" s="52"/>
      <c r="AG2554" s="52"/>
      <c r="AH2554" s="52"/>
      <c r="AM2554" s="52"/>
      <c r="AN2554" s="52"/>
    </row>
    <row r="2555" spans="16:40" x14ac:dyDescent="0.2">
      <c r="P2555" s="52"/>
      <c r="Q2555" s="52"/>
      <c r="R2555" s="52"/>
      <c r="S2555" s="52"/>
      <c r="T2555" s="52"/>
      <c r="U2555" s="52"/>
      <c r="V2555" s="52"/>
      <c r="W2555" s="52"/>
      <c r="X2555" s="52"/>
      <c r="Y2555" s="52"/>
      <c r="Z2555" s="52"/>
      <c r="AA2555" s="52"/>
      <c r="AB2555" s="52"/>
      <c r="AC2555" s="52"/>
      <c r="AD2555" s="52"/>
      <c r="AE2555" s="52"/>
      <c r="AF2555" s="52"/>
      <c r="AG2555" s="52"/>
      <c r="AH2555" s="52"/>
      <c r="AM2555" s="52"/>
      <c r="AN2555" s="52"/>
    </row>
    <row r="2556" spans="16:40" x14ac:dyDescent="0.2">
      <c r="P2556" s="52"/>
      <c r="Q2556" s="52"/>
      <c r="R2556" s="52"/>
      <c r="S2556" s="52"/>
      <c r="T2556" s="52"/>
      <c r="U2556" s="52"/>
      <c r="V2556" s="52"/>
      <c r="W2556" s="52"/>
      <c r="X2556" s="52"/>
      <c r="Y2556" s="52"/>
      <c r="Z2556" s="52"/>
      <c r="AA2556" s="52"/>
      <c r="AB2556" s="52"/>
      <c r="AC2556" s="52"/>
      <c r="AD2556" s="52"/>
      <c r="AE2556" s="52"/>
      <c r="AF2556" s="52"/>
      <c r="AG2556" s="52"/>
      <c r="AH2556" s="52"/>
      <c r="AM2556" s="52"/>
      <c r="AN2556" s="52"/>
    </row>
    <row r="2557" spans="16:40" x14ac:dyDescent="0.2">
      <c r="P2557" s="52"/>
      <c r="Q2557" s="52"/>
      <c r="R2557" s="52"/>
      <c r="S2557" s="52"/>
      <c r="T2557" s="52"/>
      <c r="U2557" s="52"/>
      <c r="V2557" s="52"/>
      <c r="W2557" s="52"/>
      <c r="X2557" s="52"/>
      <c r="Y2557" s="52"/>
      <c r="Z2557" s="52"/>
      <c r="AA2557" s="52"/>
      <c r="AB2557" s="52"/>
      <c r="AC2557" s="52"/>
      <c r="AD2557" s="52"/>
      <c r="AE2557" s="52"/>
      <c r="AF2557" s="52"/>
      <c r="AG2557" s="52"/>
      <c r="AH2557" s="52"/>
      <c r="AM2557" s="52"/>
      <c r="AN2557" s="52"/>
    </row>
    <row r="2558" spans="16:40" x14ac:dyDescent="0.2">
      <c r="P2558" s="52"/>
      <c r="Q2558" s="52"/>
      <c r="R2558" s="52"/>
      <c r="S2558" s="52"/>
      <c r="T2558" s="52"/>
      <c r="U2558" s="52"/>
      <c r="V2558" s="52"/>
      <c r="W2558" s="52"/>
      <c r="X2558" s="52"/>
      <c r="Y2558" s="52"/>
      <c r="Z2558" s="52"/>
      <c r="AA2558" s="52"/>
      <c r="AB2558" s="52"/>
      <c r="AC2558" s="52"/>
      <c r="AD2558" s="52"/>
      <c r="AE2558" s="52"/>
      <c r="AF2558" s="52"/>
      <c r="AG2558" s="52"/>
      <c r="AH2558" s="52"/>
      <c r="AM2558" s="52"/>
      <c r="AN2558" s="52"/>
    </row>
    <row r="2559" spans="16:40" x14ac:dyDescent="0.2">
      <c r="P2559" s="52"/>
      <c r="Q2559" s="52"/>
      <c r="R2559" s="52"/>
      <c r="S2559" s="52"/>
      <c r="T2559" s="52"/>
      <c r="U2559" s="52"/>
      <c r="V2559" s="52"/>
      <c r="W2559" s="52"/>
      <c r="X2559" s="52"/>
      <c r="Y2559" s="52"/>
      <c r="Z2559" s="52"/>
      <c r="AA2559" s="52"/>
      <c r="AB2559" s="52"/>
      <c r="AC2559" s="52"/>
      <c r="AD2559" s="52"/>
      <c r="AE2559" s="52"/>
      <c r="AF2559" s="52"/>
      <c r="AG2559" s="52"/>
      <c r="AH2559" s="52"/>
      <c r="AM2559" s="52"/>
      <c r="AN2559" s="52"/>
    </row>
    <row r="2560" spans="16:40" x14ac:dyDescent="0.2">
      <c r="P2560" s="52"/>
      <c r="Q2560" s="52"/>
      <c r="R2560" s="52"/>
      <c r="S2560" s="52"/>
      <c r="T2560" s="52"/>
      <c r="U2560" s="52"/>
      <c r="V2560" s="52"/>
      <c r="W2560" s="52"/>
      <c r="X2560" s="52"/>
      <c r="Y2560" s="52"/>
      <c r="Z2560" s="52"/>
      <c r="AA2560" s="52"/>
      <c r="AB2560" s="52"/>
      <c r="AC2560" s="52"/>
      <c r="AD2560" s="52"/>
      <c r="AE2560" s="52"/>
      <c r="AF2560" s="52"/>
      <c r="AG2560" s="52"/>
      <c r="AH2560" s="52"/>
      <c r="AM2560" s="52"/>
      <c r="AN2560" s="52"/>
    </row>
    <row r="2561" spans="16:40" x14ac:dyDescent="0.2">
      <c r="P2561" s="52"/>
      <c r="Q2561" s="52"/>
      <c r="R2561" s="52"/>
      <c r="S2561" s="52"/>
      <c r="T2561" s="52"/>
      <c r="U2561" s="52"/>
      <c r="V2561" s="52"/>
      <c r="W2561" s="52"/>
      <c r="X2561" s="52"/>
      <c r="Y2561" s="52"/>
      <c r="Z2561" s="52"/>
      <c r="AA2561" s="52"/>
      <c r="AB2561" s="52"/>
      <c r="AC2561" s="52"/>
      <c r="AD2561" s="52"/>
      <c r="AE2561" s="52"/>
      <c r="AF2561" s="52"/>
      <c r="AG2561" s="52"/>
      <c r="AH2561" s="52"/>
      <c r="AM2561" s="52"/>
      <c r="AN2561" s="52"/>
    </row>
    <row r="2562" spans="16:40" x14ac:dyDescent="0.2">
      <c r="P2562" s="52"/>
      <c r="Q2562" s="52"/>
      <c r="R2562" s="52"/>
      <c r="S2562" s="52"/>
      <c r="T2562" s="52"/>
      <c r="U2562" s="52"/>
      <c r="V2562" s="52"/>
      <c r="W2562" s="52"/>
      <c r="X2562" s="52"/>
      <c r="Y2562" s="52"/>
      <c r="Z2562" s="52"/>
      <c r="AA2562" s="52"/>
      <c r="AB2562" s="52"/>
      <c r="AC2562" s="52"/>
      <c r="AD2562" s="52"/>
      <c r="AE2562" s="52"/>
      <c r="AF2562" s="52"/>
      <c r="AG2562" s="52"/>
      <c r="AH2562" s="52"/>
      <c r="AM2562" s="52"/>
      <c r="AN2562" s="52"/>
    </row>
    <row r="2563" spans="16:40" x14ac:dyDescent="0.2">
      <c r="P2563" s="52"/>
      <c r="Q2563" s="52"/>
      <c r="R2563" s="52"/>
      <c r="S2563" s="52"/>
      <c r="T2563" s="52"/>
      <c r="U2563" s="52"/>
      <c r="V2563" s="52"/>
      <c r="W2563" s="52"/>
      <c r="X2563" s="52"/>
      <c r="Y2563" s="52"/>
      <c r="Z2563" s="52"/>
      <c r="AA2563" s="52"/>
      <c r="AB2563" s="52"/>
      <c r="AC2563" s="52"/>
      <c r="AD2563" s="52"/>
      <c r="AE2563" s="52"/>
      <c r="AF2563" s="52"/>
      <c r="AG2563" s="52"/>
      <c r="AH2563" s="52"/>
      <c r="AM2563" s="52"/>
      <c r="AN2563" s="52"/>
    </row>
    <row r="2564" spans="16:40" x14ac:dyDescent="0.2">
      <c r="P2564" s="52"/>
      <c r="Q2564" s="52"/>
      <c r="R2564" s="52"/>
      <c r="S2564" s="52"/>
      <c r="T2564" s="52"/>
      <c r="U2564" s="52"/>
      <c r="V2564" s="52"/>
      <c r="W2564" s="52"/>
      <c r="X2564" s="52"/>
      <c r="Y2564" s="52"/>
      <c r="Z2564" s="52"/>
      <c r="AA2564" s="52"/>
      <c r="AB2564" s="52"/>
      <c r="AC2564" s="52"/>
      <c r="AD2564" s="52"/>
      <c r="AE2564" s="52"/>
      <c r="AF2564" s="52"/>
      <c r="AG2564" s="52"/>
      <c r="AH2564" s="52"/>
      <c r="AM2564" s="52"/>
      <c r="AN2564" s="52"/>
    </row>
    <row r="2565" spans="16:40" x14ac:dyDescent="0.2">
      <c r="P2565" s="52"/>
      <c r="Q2565" s="52"/>
      <c r="R2565" s="52"/>
      <c r="S2565" s="52"/>
      <c r="T2565" s="52"/>
      <c r="U2565" s="52"/>
      <c r="V2565" s="52"/>
      <c r="W2565" s="52"/>
      <c r="X2565" s="52"/>
      <c r="Y2565" s="52"/>
      <c r="Z2565" s="52"/>
      <c r="AA2565" s="52"/>
      <c r="AB2565" s="52"/>
      <c r="AC2565" s="52"/>
      <c r="AD2565" s="52"/>
      <c r="AE2565" s="52"/>
      <c r="AF2565" s="52"/>
      <c r="AG2565" s="52"/>
      <c r="AH2565" s="52"/>
      <c r="AM2565" s="52"/>
      <c r="AN2565" s="52"/>
    </row>
    <row r="2566" spans="16:40" x14ac:dyDescent="0.2">
      <c r="P2566" s="52"/>
      <c r="Q2566" s="52"/>
      <c r="R2566" s="52"/>
      <c r="S2566" s="52"/>
      <c r="T2566" s="52"/>
      <c r="U2566" s="52"/>
      <c r="V2566" s="52"/>
      <c r="W2566" s="52"/>
      <c r="X2566" s="52"/>
      <c r="Y2566" s="52"/>
      <c r="Z2566" s="52"/>
      <c r="AA2566" s="52"/>
      <c r="AB2566" s="52"/>
      <c r="AC2566" s="52"/>
      <c r="AD2566" s="52"/>
      <c r="AE2566" s="52"/>
      <c r="AF2566" s="52"/>
      <c r="AG2566" s="52"/>
      <c r="AH2566" s="52"/>
      <c r="AM2566" s="52"/>
      <c r="AN2566" s="52"/>
    </row>
    <row r="2567" spans="16:40" x14ac:dyDescent="0.2">
      <c r="P2567" s="52"/>
      <c r="Q2567" s="52"/>
      <c r="R2567" s="52"/>
      <c r="S2567" s="52"/>
      <c r="T2567" s="52"/>
      <c r="U2567" s="52"/>
      <c r="V2567" s="52"/>
      <c r="W2567" s="52"/>
      <c r="X2567" s="52"/>
      <c r="Y2567" s="52"/>
      <c r="Z2567" s="52"/>
      <c r="AA2567" s="52"/>
      <c r="AB2567" s="52"/>
      <c r="AC2567" s="52"/>
      <c r="AD2567" s="52"/>
      <c r="AE2567" s="52"/>
      <c r="AF2567" s="52"/>
      <c r="AG2567" s="52"/>
      <c r="AH2567" s="52"/>
      <c r="AM2567" s="52"/>
      <c r="AN2567" s="52"/>
    </row>
    <row r="2568" spans="16:40" x14ac:dyDescent="0.2"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2"/>
      <c r="AA2568" s="52"/>
      <c r="AB2568" s="52"/>
      <c r="AC2568" s="52"/>
      <c r="AD2568" s="52"/>
      <c r="AE2568" s="52"/>
      <c r="AF2568" s="52"/>
      <c r="AG2568" s="52"/>
      <c r="AH2568" s="52"/>
      <c r="AM2568" s="52"/>
      <c r="AN2568" s="52"/>
    </row>
    <row r="2569" spans="16:40" x14ac:dyDescent="0.2">
      <c r="P2569" s="52"/>
      <c r="Q2569" s="52"/>
      <c r="R2569" s="52"/>
      <c r="S2569" s="52"/>
      <c r="T2569" s="52"/>
      <c r="U2569" s="52"/>
      <c r="V2569" s="52"/>
      <c r="W2569" s="52"/>
      <c r="X2569" s="52"/>
      <c r="Y2569" s="52"/>
      <c r="Z2569" s="52"/>
      <c r="AA2569" s="52"/>
      <c r="AB2569" s="52"/>
      <c r="AC2569" s="52"/>
      <c r="AD2569" s="52"/>
      <c r="AE2569" s="52"/>
      <c r="AF2569" s="52"/>
      <c r="AG2569" s="52"/>
      <c r="AH2569" s="52"/>
      <c r="AM2569" s="52"/>
      <c r="AN2569" s="52"/>
    </row>
    <row r="2570" spans="16:40" x14ac:dyDescent="0.2">
      <c r="P2570" s="52"/>
      <c r="Q2570" s="52"/>
      <c r="R2570" s="52"/>
      <c r="S2570" s="52"/>
      <c r="T2570" s="52"/>
      <c r="U2570" s="52"/>
      <c r="V2570" s="52"/>
      <c r="W2570" s="52"/>
      <c r="X2570" s="52"/>
      <c r="Y2570" s="52"/>
      <c r="Z2570" s="52"/>
      <c r="AA2570" s="52"/>
      <c r="AB2570" s="52"/>
      <c r="AC2570" s="52"/>
      <c r="AD2570" s="52"/>
      <c r="AE2570" s="52"/>
      <c r="AF2570" s="52"/>
      <c r="AG2570" s="52"/>
      <c r="AH2570" s="52"/>
      <c r="AM2570" s="52"/>
      <c r="AN2570" s="52"/>
    </row>
    <row r="2571" spans="16:40" x14ac:dyDescent="0.2">
      <c r="P2571" s="52"/>
      <c r="Q2571" s="52"/>
      <c r="R2571" s="52"/>
      <c r="S2571" s="52"/>
      <c r="T2571" s="52"/>
      <c r="U2571" s="52"/>
      <c r="V2571" s="52"/>
      <c r="W2571" s="52"/>
      <c r="X2571" s="52"/>
      <c r="Y2571" s="52"/>
      <c r="Z2571" s="52"/>
      <c r="AA2571" s="52"/>
      <c r="AB2571" s="52"/>
      <c r="AC2571" s="52"/>
      <c r="AD2571" s="52"/>
      <c r="AE2571" s="52"/>
      <c r="AF2571" s="52"/>
      <c r="AG2571" s="52"/>
      <c r="AH2571" s="52"/>
      <c r="AM2571" s="52"/>
      <c r="AN2571" s="52"/>
    </row>
    <row r="2572" spans="16:40" x14ac:dyDescent="0.2">
      <c r="P2572" s="52"/>
      <c r="Q2572" s="52"/>
      <c r="R2572" s="52"/>
      <c r="S2572" s="52"/>
      <c r="T2572" s="52"/>
      <c r="U2572" s="52"/>
      <c r="V2572" s="52"/>
      <c r="W2572" s="52"/>
      <c r="X2572" s="52"/>
      <c r="Y2572" s="52"/>
      <c r="Z2572" s="52"/>
      <c r="AA2572" s="52"/>
      <c r="AB2572" s="52"/>
      <c r="AC2572" s="52"/>
      <c r="AD2572" s="52"/>
      <c r="AE2572" s="52"/>
      <c r="AF2572" s="52"/>
      <c r="AG2572" s="52"/>
      <c r="AH2572" s="52"/>
      <c r="AM2572" s="52"/>
      <c r="AN2572" s="52"/>
    </row>
    <row r="2573" spans="16:40" x14ac:dyDescent="0.2">
      <c r="P2573" s="52"/>
      <c r="Q2573" s="52"/>
      <c r="R2573" s="52"/>
      <c r="S2573" s="52"/>
      <c r="T2573" s="52"/>
      <c r="U2573" s="52"/>
      <c r="V2573" s="52"/>
      <c r="W2573" s="52"/>
      <c r="X2573" s="52"/>
      <c r="Y2573" s="52"/>
      <c r="Z2573" s="52"/>
      <c r="AA2573" s="52"/>
      <c r="AB2573" s="52"/>
      <c r="AC2573" s="52"/>
      <c r="AD2573" s="52"/>
      <c r="AE2573" s="52"/>
      <c r="AF2573" s="52"/>
      <c r="AG2573" s="52"/>
      <c r="AH2573" s="52"/>
      <c r="AM2573" s="52"/>
      <c r="AN2573" s="52"/>
    </row>
    <row r="2574" spans="16:40" x14ac:dyDescent="0.2">
      <c r="P2574" s="52"/>
      <c r="Q2574" s="52"/>
      <c r="R2574" s="52"/>
      <c r="S2574" s="52"/>
      <c r="T2574" s="52"/>
      <c r="U2574" s="52"/>
      <c r="V2574" s="52"/>
      <c r="W2574" s="52"/>
      <c r="X2574" s="52"/>
      <c r="Y2574" s="52"/>
      <c r="Z2574" s="52"/>
      <c r="AA2574" s="52"/>
      <c r="AB2574" s="52"/>
      <c r="AC2574" s="52"/>
      <c r="AD2574" s="52"/>
      <c r="AE2574" s="52"/>
      <c r="AF2574" s="52"/>
      <c r="AG2574" s="52"/>
      <c r="AH2574" s="52"/>
      <c r="AM2574" s="52"/>
      <c r="AN2574" s="52"/>
    </row>
    <row r="2575" spans="16:40" x14ac:dyDescent="0.2">
      <c r="P2575" s="52"/>
      <c r="Q2575" s="52"/>
      <c r="R2575" s="52"/>
      <c r="S2575" s="52"/>
      <c r="T2575" s="52"/>
      <c r="U2575" s="52"/>
      <c r="V2575" s="52"/>
      <c r="W2575" s="52"/>
      <c r="X2575" s="52"/>
      <c r="Y2575" s="52"/>
      <c r="Z2575" s="52"/>
      <c r="AA2575" s="52"/>
      <c r="AB2575" s="52"/>
      <c r="AC2575" s="52"/>
      <c r="AD2575" s="52"/>
      <c r="AE2575" s="52"/>
      <c r="AF2575" s="52"/>
      <c r="AG2575" s="52"/>
      <c r="AH2575" s="52"/>
      <c r="AM2575" s="52"/>
      <c r="AN2575" s="52"/>
    </row>
    <row r="2576" spans="16:40" x14ac:dyDescent="0.2">
      <c r="P2576" s="52"/>
      <c r="Q2576" s="52"/>
      <c r="R2576" s="52"/>
      <c r="S2576" s="52"/>
      <c r="T2576" s="52"/>
      <c r="U2576" s="52"/>
      <c r="V2576" s="52"/>
      <c r="W2576" s="52"/>
      <c r="X2576" s="52"/>
      <c r="Y2576" s="52"/>
      <c r="Z2576" s="52"/>
      <c r="AA2576" s="52"/>
      <c r="AB2576" s="52"/>
      <c r="AC2576" s="52"/>
      <c r="AD2576" s="52"/>
      <c r="AE2576" s="52"/>
      <c r="AF2576" s="52"/>
      <c r="AG2576" s="52"/>
      <c r="AH2576" s="52"/>
      <c r="AM2576" s="52"/>
      <c r="AN2576" s="52"/>
    </row>
    <row r="2577" spans="16:40" x14ac:dyDescent="0.2">
      <c r="P2577" s="52"/>
      <c r="Q2577" s="52"/>
      <c r="R2577" s="52"/>
      <c r="S2577" s="52"/>
      <c r="T2577" s="52"/>
      <c r="U2577" s="52"/>
      <c r="V2577" s="52"/>
      <c r="W2577" s="52"/>
      <c r="X2577" s="52"/>
      <c r="Y2577" s="52"/>
      <c r="Z2577" s="52"/>
      <c r="AA2577" s="52"/>
      <c r="AB2577" s="52"/>
      <c r="AC2577" s="52"/>
      <c r="AD2577" s="52"/>
      <c r="AE2577" s="52"/>
      <c r="AF2577" s="52"/>
      <c r="AG2577" s="52"/>
      <c r="AH2577" s="52"/>
      <c r="AM2577" s="52"/>
      <c r="AN2577" s="52"/>
    </row>
    <row r="2578" spans="16:40" x14ac:dyDescent="0.2">
      <c r="P2578" s="52"/>
      <c r="Q2578" s="52"/>
      <c r="R2578" s="52"/>
      <c r="S2578" s="52"/>
      <c r="T2578" s="52"/>
      <c r="U2578" s="52"/>
      <c r="V2578" s="52"/>
      <c r="W2578" s="52"/>
      <c r="X2578" s="52"/>
      <c r="Y2578" s="52"/>
      <c r="Z2578" s="52"/>
      <c r="AA2578" s="52"/>
      <c r="AB2578" s="52"/>
      <c r="AC2578" s="52"/>
      <c r="AD2578" s="52"/>
      <c r="AE2578" s="52"/>
      <c r="AF2578" s="52"/>
      <c r="AG2578" s="52"/>
      <c r="AH2578" s="52"/>
      <c r="AM2578" s="52"/>
      <c r="AN2578" s="52"/>
    </row>
    <row r="2579" spans="16:40" x14ac:dyDescent="0.2">
      <c r="P2579" s="52"/>
      <c r="Q2579" s="52"/>
      <c r="R2579" s="52"/>
      <c r="S2579" s="52"/>
      <c r="T2579" s="52"/>
      <c r="U2579" s="52"/>
      <c r="V2579" s="52"/>
      <c r="W2579" s="52"/>
      <c r="X2579" s="52"/>
      <c r="Y2579" s="52"/>
      <c r="Z2579" s="52"/>
      <c r="AA2579" s="52"/>
      <c r="AB2579" s="52"/>
      <c r="AC2579" s="52"/>
      <c r="AD2579" s="52"/>
      <c r="AE2579" s="52"/>
      <c r="AF2579" s="52"/>
      <c r="AG2579" s="52"/>
      <c r="AH2579" s="52"/>
      <c r="AM2579" s="52"/>
      <c r="AN2579" s="52"/>
    </row>
    <row r="2580" spans="16:40" x14ac:dyDescent="0.2">
      <c r="P2580" s="52"/>
      <c r="Q2580" s="52"/>
      <c r="R2580" s="52"/>
      <c r="S2580" s="52"/>
      <c r="T2580" s="52"/>
      <c r="U2580" s="52"/>
      <c r="V2580" s="52"/>
      <c r="W2580" s="52"/>
      <c r="X2580" s="52"/>
      <c r="Y2580" s="52"/>
      <c r="Z2580" s="52"/>
      <c r="AA2580" s="52"/>
      <c r="AB2580" s="52"/>
      <c r="AC2580" s="52"/>
      <c r="AD2580" s="52"/>
      <c r="AE2580" s="52"/>
      <c r="AF2580" s="52"/>
      <c r="AG2580" s="52"/>
      <c r="AH2580" s="52"/>
      <c r="AM2580" s="52"/>
      <c r="AN2580" s="52"/>
    </row>
    <row r="2581" spans="16:40" x14ac:dyDescent="0.2">
      <c r="P2581" s="52"/>
      <c r="Q2581" s="52"/>
      <c r="R2581" s="52"/>
      <c r="S2581" s="52"/>
      <c r="T2581" s="52"/>
      <c r="U2581" s="52"/>
      <c r="V2581" s="52"/>
      <c r="W2581" s="52"/>
      <c r="X2581" s="52"/>
      <c r="Y2581" s="52"/>
      <c r="Z2581" s="52"/>
      <c r="AA2581" s="52"/>
      <c r="AB2581" s="52"/>
      <c r="AC2581" s="52"/>
      <c r="AD2581" s="52"/>
      <c r="AE2581" s="52"/>
      <c r="AF2581" s="52"/>
      <c r="AG2581" s="52"/>
      <c r="AH2581" s="52"/>
      <c r="AM2581" s="52"/>
      <c r="AN2581" s="52"/>
    </row>
    <row r="2582" spans="16:40" x14ac:dyDescent="0.2">
      <c r="P2582" s="52"/>
      <c r="Q2582" s="52"/>
      <c r="R2582" s="52"/>
      <c r="S2582" s="52"/>
      <c r="T2582" s="52"/>
      <c r="U2582" s="52"/>
      <c r="V2582" s="52"/>
      <c r="W2582" s="52"/>
      <c r="X2582" s="52"/>
      <c r="Y2582" s="52"/>
      <c r="Z2582" s="52"/>
      <c r="AA2582" s="52"/>
      <c r="AB2582" s="52"/>
      <c r="AC2582" s="52"/>
      <c r="AD2582" s="52"/>
      <c r="AE2582" s="52"/>
      <c r="AF2582" s="52"/>
      <c r="AG2582" s="52"/>
      <c r="AH2582" s="52"/>
      <c r="AM2582" s="52"/>
      <c r="AN2582" s="52"/>
    </row>
    <row r="2583" spans="16:40" x14ac:dyDescent="0.2">
      <c r="P2583" s="52"/>
      <c r="Q2583" s="52"/>
      <c r="R2583" s="52"/>
      <c r="S2583" s="52"/>
      <c r="T2583" s="52"/>
      <c r="U2583" s="52"/>
      <c r="V2583" s="52"/>
      <c r="W2583" s="52"/>
      <c r="X2583" s="52"/>
      <c r="Y2583" s="52"/>
      <c r="Z2583" s="52"/>
      <c r="AA2583" s="52"/>
      <c r="AB2583" s="52"/>
      <c r="AC2583" s="52"/>
      <c r="AD2583" s="52"/>
      <c r="AE2583" s="52"/>
      <c r="AF2583" s="52"/>
      <c r="AG2583" s="52"/>
      <c r="AH2583" s="52"/>
      <c r="AM2583" s="52"/>
      <c r="AN2583" s="52"/>
    </row>
    <row r="2584" spans="16:40" x14ac:dyDescent="0.2">
      <c r="P2584" s="52"/>
      <c r="Q2584" s="52"/>
      <c r="R2584" s="52"/>
      <c r="S2584" s="52"/>
      <c r="T2584" s="52"/>
      <c r="U2584" s="52"/>
      <c r="V2584" s="52"/>
      <c r="W2584" s="52"/>
      <c r="X2584" s="52"/>
      <c r="Y2584" s="52"/>
      <c r="Z2584" s="52"/>
      <c r="AA2584" s="52"/>
      <c r="AB2584" s="52"/>
      <c r="AC2584" s="52"/>
      <c r="AD2584" s="52"/>
      <c r="AE2584" s="52"/>
      <c r="AF2584" s="52"/>
      <c r="AG2584" s="52"/>
      <c r="AH2584" s="52"/>
      <c r="AM2584" s="52"/>
      <c r="AN2584" s="52"/>
    </row>
    <row r="2585" spans="16:40" x14ac:dyDescent="0.2">
      <c r="P2585" s="52"/>
      <c r="Q2585" s="52"/>
      <c r="R2585" s="52"/>
      <c r="S2585" s="52"/>
      <c r="T2585" s="52"/>
      <c r="U2585" s="52"/>
      <c r="V2585" s="52"/>
      <c r="W2585" s="52"/>
      <c r="X2585" s="52"/>
      <c r="Y2585" s="52"/>
      <c r="Z2585" s="52"/>
      <c r="AA2585" s="52"/>
      <c r="AB2585" s="52"/>
      <c r="AC2585" s="52"/>
      <c r="AD2585" s="52"/>
      <c r="AE2585" s="52"/>
      <c r="AF2585" s="52"/>
      <c r="AG2585" s="52"/>
      <c r="AH2585" s="52"/>
      <c r="AM2585" s="52"/>
      <c r="AN2585" s="52"/>
    </row>
    <row r="2586" spans="16:40" x14ac:dyDescent="0.2">
      <c r="P2586" s="52"/>
      <c r="Q2586" s="52"/>
      <c r="R2586" s="52"/>
      <c r="S2586" s="52"/>
      <c r="T2586" s="52"/>
      <c r="U2586" s="52"/>
      <c r="V2586" s="52"/>
      <c r="W2586" s="52"/>
      <c r="X2586" s="52"/>
      <c r="Y2586" s="52"/>
      <c r="Z2586" s="52"/>
      <c r="AA2586" s="52"/>
      <c r="AB2586" s="52"/>
      <c r="AC2586" s="52"/>
      <c r="AD2586" s="52"/>
      <c r="AE2586" s="52"/>
      <c r="AF2586" s="52"/>
      <c r="AG2586" s="52"/>
      <c r="AH2586" s="52"/>
      <c r="AM2586" s="52"/>
      <c r="AN2586" s="52"/>
    </row>
    <row r="2587" spans="16:40" x14ac:dyDescent="0.2">
      <c r="P2587" s="52"/>
      <c r="Q2587" s="52"/>
      <c r="R2587" s="52"/>
      <c r="S2587" s="52"/>
      <c r="T2587" s="52"/>
      <c r="U2587" s="52"/>
      <c r="V2587" s="52"/>
      <c r="W2587" s="52"/>
      <c r="X2587" s="52"/>
      <c r="Y2587" s="52"/>
      <c r="Z2587" s="52"/>
      <c r="AA2587" s="52"/>
      <c r="AB2587" s="52"/>
      <c r="AC2587" s="52"/>
      <c r="AD2587" s="52"/>
      <c r="AE2587" s="52"/>
      <c r="AF2587" s="52"/>
      <c r="AG2587" s="52"/>
      <c r="AH2587" s="52"/>
      <c r="AM2587" s="52"/>
      <c r="AN2587" s="52"/>
    </row>
    <row r="2588" spans="16:40" x14ac:dyDescent="0.2">
      <c r="P2588" s="52"/>
      <c r="Q2588" s="52"/>
      <c r="R2588" s="52"/>
      <c r="S2588" s="52"/>
      <c r="T2588" s="52"/>
      <c r="U2588" s="52"/>
      <c r="V2588" s="52"/>
      <c r="W2588" s="52"/>
      <c r="X2588" s="52"/>
      <c r="Y2588" s="52"/>
      <c r="Z2588" s="52"/>
      <c r="AA2588" s="52"/>
      <c r="AB2588" s="52"/>
      <c r="AC2588" s="52"/>
      <c r="AD2588" s="52"/>
      <c r="AE2588" s="52"/>
      <c r="AF2588" s="52"/>
      <c r="AG2588" s="52"/>
      <c r="AH2588" s="52"/>
      <c r="AM2588" s="52"/>
      <c r="AN2588" s="52"/>
    </row>
    <row r="2589" spans="16:40" x14ac:dyDescent="0.2">
      <c r="P2589" s="52"/>
      <c r="Q2589" s="52"/>
      <c r="R2589" s="52"/>
      <c r="S2589" s="52"/>
      <c r="T2589" s="52"/>
      <c r="U2589" s="52"/>
      <c r="V2589" s="52"/>
      <c r="W2589" s="52"/>
      <c r="X2589" s="52"/>
      <c r="Y2589" s="52"/>
      <c r="Z2589" s="52"/>
      <c r="AA2589" s="52"/>
      <c r="AB2589" s="52"/>
      <c r="AC2589" s="52"/>
      <c r="AD2589" s="52"/>
      <c r="AE2589" s="52"/>
      <c r="AF2589" s="52"/>
      <c r="AG2589" s="52"/>
      <c r="AH2589" s="52"/>
      <c r="AM2589" s="52"/>
      <c r="AN2589" s="52"/>
    </row>
    <row r="2590" spans="16:40" x14ac:dyDescent="0.2">
      <c r="P2590" s="52"/>
      <c r="Q2590" s="52"/>
      <c r="R2590" s="52"/>
      <c r="S2590" s="52"/>
      <c r="T2590" s="52"/>
      <c r="U2590" s="52"/>
      <c r="V2590" s="52"/>
      <c r="W2590" s="52"/>
      <c r="X2590" s="52"/>
      <c r="Y2590" s="52"/>
      <c r="Z2590" s="52"/>
      <c r="AA2590" s="52"/>
      <c r="AB2590" s="52"/>
      <c r="AC2590" s="52"/>
      <c r="AD2590" s="52"/>
      <c r="AE2590" s="52"/>
      <c r="AF2590" s="52"/>
      <c r="AG2590" s="52"/>
      <c r="AH2590" s="52"/>
      <c r="AM2590" s="52"/>
      <c r="AN2590" s="52"/>
    </row>
    <row r="2591" spans="16:40" x14ac:dyDescent="0.2">
      <c r="P2591" s="52"/>
      <c r="Q2591" s="52"/>
      <c r="R2591" s="52"/>
      <c r="S2591" s="52"/>
      <c r="T2591" s="52"/>
      <c r="U2591" s="52"/>
      <c r="V2591" s="52"/>
      <c r="W2591" s="52"/>
      <c r="X2591" s="52"/>
      <c r="Y2591" s="52"/>
      <c r="Z2591" s="52"/>
      <c r="AA2591" s="52"/>
      <c r="AB2591" s="52"/>
      <c r="AC2591" s="52"/>
      <c r="AD2591" s="52"/>
      <c r="AE2591" s="52"/>
      <c r="AF2591" s="52"/>
      <c r="AG2591" s="52"/>
      <c r="AH2591" s="52"/>
      <c r="AM2591" s="52"/>
      <c r="AN2591" s="52"/>
    </row>
    <row r="2592" spans="16:40" x14ac:dyDescent="0.2">
      <c r="P2592" s="52"/>
      <c r="Q2592" s="52"/>
      <c r="R2592" s="52"/>
      <c r="S2592" s="52"/>
      <c r="T2592" s="52"/>
      <c r="U2592" s="52"/>
      <c r="V2592" s="52"/>
      <c r="W2592" s="52"/>
      <c r="X2592" s="52"/>
      <c r="Y2592" s="52"/>
      <c r="Z2592" s="52"/>
      <c r="AA2592" s="52"/>
      <c r="AB2592" s="52"/>
      <c r="AC2592" s="52"/>
      <c r="AD2592" s="52"/>
      <c r="AE2592" s="52"/>
      <c r="AF2592" s="52"/>
      <c r="AG2592" s="52"/>
      <c r="AH2592" s="52"/>
      <c r="AM2592" s="52"/>
      <c r="AN2592" s="52"/>
    </row>
    <row r="2593" spans="16:40" x14ac:dyDescent="0.2">
      <c r="P2593" s="52"/>
      <c r="Q2593" s="52"/>
      <c r="R2593" s="52"/>
      <c r="S2593" s="52"/>
      <c r="T2593" s="52"/>
      <c r="U2593" s="52"/>
      <c r="V2593" s="52"/>
      <c r="W2593" s="52"/>
      <c r="X2593" s="52"/>
      <c r="Y2593" s="52"/>
      <c r="Z2593" s="52"/>
      <c r="AA2593" s="52"/>
      <c r="AB2593" s="52"/>
      <c r="AC2593" s="52"/>
      <c r="AD2593" s="52"/>
      <c r="AE2593" s="52"/>
      <c r="AF2593" s="52"/>
      <c r="AG2593" s="52"/>
      <c r="AH2593" s="52"/>
      <c r="AM2593" s="52"/>
      <c r="AN2593" s="52"/>
    </row>
    <row r="2594" spans="16:40" x14ac:dyDescent="0.2">
      <c r="P2594" s="52"/>
      <c r="Q2594" s="52"/>
      <c r="R2594" s="52"/>
      <c r="S2594" s="52"/>
      <c r="T2594" s="52"/>
      <c r="U2594" s="52"/>
      <c r="V2594" s="52"/>
      <c r="W2594" s="52"/>
      <c r="X2594" s="52"/>
      <c r="Y2594" s="52"/>
      <c r="Z2594" s="52"/>
      <c r="AA2594" s="52"/>
      <c r="AB2594" s="52"/>
      <c r="AC2594" s="52"/>
      <c r="AD2594" s="52"/>
      <c r="AE2594" s="52"/>
      <c r="AF2594" s="52"/>
      <c r="AG2594" s="52"/>
      <c r="AH2594" s="52"/>
      <c r="AM2594" s="52"/>
      <c r="AN2594" s="52"/>
    </row>
    <row r="2595" spans="16:40" x14ac:dyDescent="0.2">
      <c r="P2595" s="52"/>
      <c r="Q2595" s="52"/>
      <c r="R2595" s="52"/>
      <c r="S2595" s="52"/>
      <c r="T2595" s="52"/>
      <c r="U2595" s="52"/>
      <c r="V2595" s="52"/>
      <c r="W2595" s="52"/>
      <c r="X2595" s="52"/>
      <c r="Y2595" s="52"/>
      <c r="Z2595" s="52"/>
      <c r="AA2595" s="52"/>
      <c r="AB2595" s="52"/>
      <c r="AC2595" s="52"/>
      <c r="AD2595" s="52"/>
      <c r="AE2595" s="52"/>
      <c r="AF2595" s="52"/>
      <c r="AG2595" s="52"/>
      <c r="AH2595" s="52"/>
      <c r="AM2595" s="52"/>
      <c r="AN2595" s="52"/>
    </row>
    <row r="2596" spans="16:40" x14ac:dyDescent="0.2">
      <c r="P2596" s="52"/>
      <c r="Q2596" s="52"/>
      <c r="R2596" s="52"/>
      <c r="S2596" s="52"/>
      <c r="T2596" s="52"/>
      <c r="U2596" s="52"/>
      <c r="V2596" s="52"/>
      <c r="W2596" s="52"/>
      <c r="X2596" s="52"/>
      <c r="Y2596" s="52"/>
      <c r="Z2596" s="52"/>
      <c r="AA2596" s="52"/>
      <c r="AB2596" s="52"/>
      <c r="AC2596" s="52"/>
      <c r="AD2596" s="52"/>
      <c r="AE2596" s="52"/>
      <c r="AF2596" s="52"/>
      <c r="AG2596" s="52"/>
      <c r="AH2596" s="52"/>
      <c r="AM2596" s="52"/>
      <c r="AN2596" s="52"/>
    </row>
    <row r="2597" spans="16:40" x14ac:dyDescent="0.2">
      <c r="P2597" s="52"/>
      <c r="Q2597" s="52"/>
      <c r="R2597" s="52"/>
      <c r="S2597" s="52"/>
      <c r="T2597" s="52"/>
      <c r="U2597" s="52"/>
      <c r="V2597" s="52"/>
      <c r="W2597" s="52"/>
      <c r="X2597" s="52"/>
      <c r="Y2597" s="52"/>
      <c r="Z2597" s="52"/>
      <c r="AA2597" s="52"/>
      <c r="AB2597" s="52"/>
      <c r="AC2597" s="52"/>
      <c r="AD2597" s="52"/>
      <c r="AE2597" s="52"/>
      <c r="AF2597" s="52"/>
      <c r="AG2597" s="52"/>
      <c r="AH2597" s="52"/>
      <c r="AM2597" s="52"/>
      <c r="AN2597" s="52"/>
    </row>
    <row r="2598" spans="16:40" x14ac:dyDescent="0.2">
      <c r="P2598" s="52"/>
      <c r="Q2598" s="52"/>
      <c r="R2598" s="52"/>
      <c r="S2598" s="52"/>
      <c r="T2598" s="52"/>
      <c r="U2598" s="52"/>
      <c r="V2598" s="52"/>
      <c r="W2598" s="52"/>
      <c r="X2598" s="52"/>
      <c r="Y2598" s="52"/>
      <c r="Z2598" s="52"/>
      <c r="AA2598" s="52"/>
      <c r="AB2598" s="52"/>
      <c r="AC2598" s="52"/>
      <c r="AD2598" s="52"/>
      <c r="AE2598" s="52"/>
      <c r="AF2598" s="52"/>
      <c r="AG2598" s="52"/>
      <c r="AH2598" s="52"/>
      <c r="AM2598" s="52"/>
      <c r="AN2598" s="52"/>
    </row>
    <row r="2599" spans="16:40" x14ac:dyDescent="0.2">
      <c r="P2599" s="52"/>
      <c r="Q2599" s="52"/>
      <c r="R2599" s="52"/>
      <c r="S2599" s="52"/>
      <c r="T2599" s="52"/>
      <c r="U2599" s="52"/>
      <c r="V2599" s="52"/>
      <c r="W2599" s="52"/>
      <c r="X2599" s="52"/>
      <c r="Y2599" s="52"/>
      <c r="Z2599" s="52"/>
      <c r="AA2599" s="52"/>
      <c r="AB2599" s="52"/>
      <c r="AC2599" s="52"/>
      <c r="AD2599" s="52"/>
      <c r="AE2599" s="52"/>
      <c r="AF2599" s="52"/>
      <c r="AG2599" s="52"/>
      <c r="AH2599" s="52"/>
      <c r="AM2599" s="52"/>
      <c r="AN2599" s="52"/>
    </row>
    <row r="2600" spans="16:40" x14ac:dyDescent="0.2">
      <c r="P2600" s="52"/>
      <c r="Q2600" s="52"/>
      <c r="R2600" s="52"/>
      <c r="S2600" s="52"/>
      <c r="T2600" s="52"/>
      <c r="U2600" s="52"/>
      <c r="V2600" s="52"/>
      <c r="W2600" s="52"/>
      <c r="X2600" s="52"/>
      <c r="Y2600" s="52"/>
      <c r="Z2600" s="52"/>
      <c r="AA2600" s="52"/>
      <c r="AB2600" s="52"/>
      <c r="AC2600" s="52"/>
      <c r="AD2600" s="52"/>
      <c r="AE2600" s="52"/>
      <c r="AF2600" s="52"/>
      <c r="AG2600" s="52"/>
      <c r="AH2600" s="52"/>
      <c r="AM2600" s="52"/>
      <c r="AN2600" s="52"/>
    </row>
    <row r="2601" spans="16:40" x14ac:dyDescent="0.2">
      <c r="P2601" s="52"/>
      <c r="Q2601" s="52"/>
      <c r="R2601" s="52"/>
      <c r="S2601" s="52"/>
      <c r="T2601" s="52"/>
      <c r="U2601" s="52"/>
      <c r="V2601" s="52"/>
      <c r="W2601" s="52"/>
      <c r="X2601" s="52"/>
      <c r="Y2601" s="52"/>
      <c r="Z2601" s="52"/>
      <c r="AA2601" s="52"/>
      <c r="AB2601" s="52"/>
      <c r="AC2601" s="52"/>
      <c r="AD2601" s="52"/>
      <c r="AE2601" s="52"/>
      <c r="AF2601" s="52"/>
      <c r="AG2601" s="52"/>
      <c r="AH2601" s="52"/>
      <c r="AM2601" s="52"/>
      <c r="AN2601" s="52"/>
    </row>
    <row r="2602" spans="16:40" x14ac:dyDescent="0.2">
      <c r="P2602" s="52"/>
      <c r="Q2602" s="52"/>
      <c r="R2602" s="52"/>
      <c r="S2602" s="52"/>
      <c r="T2602" s="52"/>
      <c r="U2602" s="52"/>
      <c r="V2602" s="52"/>
      <c r="W2602" s="52"/>
      <c r="X2602" s="52"/>
      <c r="Y2602" s="52"/>
      <c r="Z2602" s="52"/>
      <c r="AA2602" s="52"/>
      <c r="AB2602" s="52"/>
      <c r="AC2602" s="52"/>
      <c r="AD2602" s="52"/>
      <c r="AE2602" s="52"/>
      <c r="AF2602" s="52"/>
      <c r="AG2602" s="52"/>
      <c r="AH2602" s="52"/>
      <c r="AM2602" s="52"/>
      <c r="AN2602" s="52"/>
    </row>
    <row r="2603" spans="16:40" x14ac:dyDescent="0.2">
      <c r="P2603" s="52"/>
      <c r="Q2603" s="52"/>
      <c r="R2603" s="52"/>
      <c r="S2603" s="52"/>
      <c r="T2603" s="52"/>
      <c r="U2603" s="52"/>
      <c r="V2603" s="52"/>
      <c r="W2603" s="52"/>
      <c r="X2603" s="52"/>
      <c r="Y2603" s="52"/>
      <c r="Z2603" s="52"/>
      <c r="AA2603" s="52"/>
      <c r="AB2603" s="52"/>
      <c r="AC2603" s="52"/>
      <c r="AD2603" s="52"/>
      <c r="AE2603" s="52"/>
      <c r="AF2603" s="52"/>
      <c r="AG2603" s="52"/>
      <c r="AH2603" s="52"/>
      <c r="AM2603" s="52"/>
      <c r="AN2603" s="52"/>
    </row>
    <row r="2604" spans="16:40" x14ac:dyDescent="0.2">
      <c r="P2604" s="52"/>
      <c r="Q2604" s="52"/>
      <c r="R2604" s="52"/>
      <c r="S2604" s="52"/>
      <c r="T2604" s="52"/>
      <c r="U2604" s="52"/>
      <c r="V2604" s="52"/>
      <c r="W2604" s="52"/>
      <c r="X2604" s="52"/>
      <c r="Y2604" s="52"/>
      <c r="Z2604" s="52"/>
      <c r="AA2604" s="52"/>
      <c r="AB2604" s="52"/>
      <c r="AC2604" s="52"/>
      <c r="AD2604" s="52"/>
      <c r="AE2604" s="52"/>
      <c r="AF2604" s="52"/>
      <c r="AG2604" s="52"/>
      <c r="AH2604" s="52"/>
      <c r="AM2604" s="52"/>
      <c r="AN2604" s="52"/>
    </row>
    <row r="2605" spans="16:40" x14ac:dyDescent="0.2">
      <c r="P2605" s="52"/>
      <c r="Q2605" s="52"/>
      <c r="R2605" s="52"/>
      <c r="S2605" s="52"/>
      <c r="T2605" s="52"/>
      <c r="U2605" s="52"/>
      <c r="V2605" s="52"/>
      <c r="W2605" s="52"/>
      <c r="X2605" s="52"/>
      <c r="Y2605" s="52"/>
      <c r="Z2605" s="52"/>
      <c r="AA2605" s="52"/>
      <c r="AB2605" s="52"/>
      <c r="AC2605" s="52"/>
      <c r="AD2605" s="52"/>
      <c r="AE2605" s="52"/>
      <c r="AF2605" s="52"/>
      <c r="AG2605" s="52"/>
      <c r="AH2605" s="52"/>
      <c r="AM2605" s="52"/>
      <c r="AN2605" s="52"/>
    </row>
    <row r="2606" spans="16:40" x14ac:dyDescent="0.2"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2"/>
      <c r="AA2606" s="52"/>
      <c r="AB2606" s="52"/>
      <c r="AC2606" s="52"/>
      <c r="AD2606" s="52"/>
      <c r="AE2606" s="52"/>
      <c r="AF2606" s="52"/>
      <c r="AG2606" s="52"/>
      <c r="AH2606" s="52"/>
      <c r="AM2606" s="52"/>
      <c r="AN2606" s="52"/>
    </row>
    <row r="2607" spans="16:40" x14ac:dyDescent="0.2">
      <c r="P2607" s="52"/>
      <c r="Q2607" s="52"/>
      <c r="R2607" s="52"/>
      <c r="S2607" s="52"/>
      <c r="T2607" s="52"/>
      <c r="U2607" s="52"/>
      <c r="V2607" s="52"/>
      <c r="W2607" s="52"/>
      <c r="X2607" s="52"/>
      <c r="Y2607" s="52"/>
      <c r="Z2607" s="52"/>
      <c r="AA2607" s="52"/>
      <c r="AB2607" s="52"/>
      <c r="AC2607" s="52"/>
      <c r="AD2607" s="52"/>
      <c r="AE2607" s="52"/>
      <c r="AF2607" s="52"/>
      <c r="AG2607" s="52"/>
      <c r="AH2607" s="52"/>
      <c r="AM2607" s="52"/>
      <c r="AN2607" s="52"/>
    </row>
    <row r="2608" spans="16:40" x14ac:dyDescent="0.2">
      <c r="P2608" s="52"/>
      <c r="Q2608" s="52"/>
      <c r="R2608" s="52"/>
      <c r="S2608" s="52"/>
      <c r="T2608" s="52"/>
      <c r="U2608" s="52"/>
      <c r="V2608" s="52"/>
      <c r="W2608" s="52"/>
      <c r="X2608" s="52"/>
      <c r="Y2608" s="52"/>
      <c r="Z2608" s="52"/>
      <c r="AA2608" s="52"/>
      <c r="AB2608" s="52"/>
      <c r="AC2608" s="52"/>
      <c r="AD2608" s="52"/>
      <c r="AE2608" s="52"/>
      <c r="AF2608" s="52"/>
      <c r="AG2608" s="52"/>
      <c r="AH2608" s="52"/>
      <c r="AM2608" s="52"/>
      <c r="AN2608" s="52"/>
    </row>
    <row r="2609" spans="16:40" x14ac:dyDescent="0.2">
      <c r="P2609" s="52"/>
      <c r="Q2609" s="52"/>
      <c r="R2609" s="52"/>
      <c r="S2609" s="52"/>
      <c r="T2609" s="52"/>
      <c r="U2609" s="52"/>
      <c r="V2609" s="52"/>
      <c r="W2609" s="52"/>
      <c r="X2609" s="52"/>
      <c r="Y2609" s="52"/>
      <c r="Z2609" s="52"/>
      <c r="AA2609" s="52"/>
      <c r="AB2609" s="52"/>
      <c r="AC2609" s="52"/>
      <c r="AD2609" s="52"/>
      <c r="AE2609" s="52"/>
      <c r="AF2609" s="52"/>
      <c r="AG2609" s="52"/>
      <c r="AH2609" s="52"/>
      <c r="AM2609" s="52"/>
      <c r="AN2609" s="52"/>
    </row>
    <row r="2610" spans="16:40" x14ac:dyDescent="0.2">
      <c r="P2610" s="52"/>
      <c r="Q2610" s="52"/>
      <c r="R2610" s="52"/>
      <c r="S2610" s="52"/>
      <c r="T2610" s="52"/>
      <c r="U2610" s="52"/>
      <c r="V2610" s="52"/>
      <c r="W2610" s="52"/>
      <c r="X2610" s="52"/>
      <c r="Y2610" s="52"/>
      <c r="Z2610" s="52"/>
      <c r="AA2610" s="52"/>
      <c r="AB2610" s="52"/>
      <c r="AC2610" s="52"/>
      <c r="AD2610" s="52"/>
      <c r="AE2610" s="52"/>
      <c r="AF2610" s="52"/>
      <c r="AG2610" s="52"/>
      <c r="AH2610" s="52"/>
      <c r="AM2610" s="52"/>
      <c r="AN2610" s="52"/>
    </row>
    <row r="2611" spans="16:40" x14ac:dyDescent="0.2">
      <c r="P2611" s="52"/>
      <c r="Q2611" s="52"/>
      <c r="R2611" s="52"/>
      <c r="S2611" s="52"/>
      <c r="T2611" s="52"/>
      <c r="U2611" s="52"/>
      <c r="V2611" s="52"/>
      <c r="W2611" s="52"/>
      <c r="X2611" s="52"/>
      <c r="Y2611" s="52"/>
      <c r="Z2611" s="52"/>
      <c r="AA2611" s="52"/>
      <c r="AB2611" s="52"/>
      <c r="AC2611" s="52"/>
      <c r="AD2611" s="52"/>
      <c r="AE2611" s="52"/>
      <c r="AF2611" s="52"/>
      <c r="AG2611" s="52"/>
      <c r="AH2611" s="52"/>
      <c r="AM2611" s="52"/>
      <c r="AN2611" s="52"/>
    </row>
    <row r="2612" spans="16:40" x14ac:dyDescent="0.2">
      <c r="P2612" s="52"/>
      <c r="Q2612" s="52"/>
      <c r="R2612" s="52"/>
      <c r="S2612" s="52"/>
      <c r="T2612" s="52"/>
      <c r="U2612" s="52"/>
      <c r="V2612" s="52"/>
      <c r="W2612" s="52"/>
      <c r="X2612" s="52"/>
      <c r="Y2612" s="52"/>
      <c r="Z2612" s="52"/>
      <c r="AA2612" s="52"/>
      <c r="AB2612" s="52"/>
      <c r="AC2612" s="52"/>
      <c r="AD2612" s="52"/>
      <c r="AE2612" s="52"/>
      <c r="AF2612" s="52"/>
      <c r="AG2612" s="52"/>
      <c r="AH2612" s="52"/>
      <c r="AM2612" s="52"/>
      <c r="AN2612" s="52"/>
    </row>
    <row r="2613" spans="16:40" x14ac:dyDescent="0.2">
      <c r="P2613" s="52"/>
      <c r="Q2613" s="52"/>
      <c r="R2613" s="52"/>
      <c r="S2613" s="52"/>
      <c r="T2613" s="52"/>
      <c r="U2613" s="52"/>
      <c r="V2613" s="52"/>
      <c r="W2613" s="52"/>
      <c r="X2613" s="52"/>
      <c r="Y2613" s="52"/>
      <c r="Z2613" s="52"/>
      <c r="AA2613" s="52"/>
      <c r="AB2613" s="52"/>
      <c r="AC2613" s="52"/>
      <c r="AD2613" s="52"/>
      <c r="AE2613" s="52"/>
      <c r="AF2613" s="52"/>
      <c r="AG2613" s="52"/>
      <c r="AH2613" s="52"/>
      <c r="AM2613" s="52"/>
      <c r="AN2613" s="52"/>
    </row>
    <row r="2614" spans="16:40" x14ac:dyDescent="0.2">
      <c r="P2614" s="52"/>
      <c r="Q2614" s="52"/>
      <c r="R2614" s="52"/>
      <c r="S2614" s="52"/>
      <c r="T2614" s="52"/>
      <c r="U2614" s="52"/>
      <c r="V2614" s="52"/>
      <c r="W2614" s="52"/>
      <c r="X2614" s="52"/>
      <c r="Y2614" s="52"/>
      <c r="Z2614" s="52"/>
      <c r="AA2614" s="52"/>
      <c r="AB2614" s="52"/>
      <c r="AC2614" s="52"/>
      <c r="AD2614" s="52"/>
      <c r="AE2614" s="52"/>
      <c r="AF2614" s="52"/>
      <c r="AG2614" s="52"/>
      <c r="AH2614" s="52"/>
      <c r="AM2614" s="52"/>
      <c r="AN2614" s="52"/>
    </row>
    <row r="2615" spans="16:40" x14ac:dyDescent="0.2">
      <c r="P2615" s="52"/>
      <c r="Q2615" s="52"/>
      <c r="R2615" s="52"/>
      <c r="S2615" s="52"/>
      <c r="T2615" s="52"/>
      <c r="U2615" s="52"/>
      <c r="V2615" s="52"/>
      <c r="W2615" s="52"/>
      <c r="X2615" s="52"/>
      <c r="Y2615" s="52"/>
      <c r="Z2615" s="52"/>
      <c r="AA2615" s="52"/>
      <c r="AB2615" s="52"/>
      <c r="AC2615" s="52"/>
      <c r="AD2615" s="52"/>
      <c r="AE2615" s="52"/>
      <c r="AF2615" s="52"/>
      <c r="AG2615" s="52"/>
      <c r="AH2615" s="52"/>
      <c r="AM2615" s="52"/>
      <c r="AN2615" s="52"/>
    </row>
    <row r="2616" spans="16:40" x14ac:dyDescent="0.2">
      <c r="P2616" s="52"/>
      <c r="Q2616" s="52"/>
      <c r="R2616" s="52"/>
      <c r="S2616" s="52"/>
      <c r="T2616" s="52"/>
      <c r="U2616" s="52"/>
      <c r="V2616" s="52"/>
      <c r="W2616" s="52"/>
      <c r="X2616" s="52"/>
      <c r="Y2616" s="52"/>
      <c r="Z2616" s="52"/>
      <c r="AA2616" s="52"/>
      <c r="AB2616" s="52"/>
      <c r="AC2616" s="52"/>
      <c r="AD2616" s="52"/>
      <c r="AE2616" s="52"/>
      <c r="AF2616" s="52"/>
      <c r="AG2616" s="52"/>
      <c r="AH2616" s="52"/>
      <c r="AM2616" s="52"/>
      <c r="AN2616" s="52"/>
    </row>
    <row r="2617" spans="16:40" x14ac:dyDescent="0.2">
      <c r="P2617" s="52"/>
      <c r="Q2617" s="52"/>
      <c r="R2617" s="52"/>
      <c r="S2617" s="52"/>
      <c r="T2617" s="52"/>
      <c r="U2617" s="52"/>
      <c r="V2617" s="52"/>
      <c r="W2617" s="52"/>
      <c r="X2617" s="52"/>
      <c r="Y2617" s="52"/>
      <c r="Z2617" s="52"/>
      <c r="AA2617" s="52"/>
      <c r="AB2617" s="52"/>
      <c r="AC2617" s="52"/>
      <c r="AD2617" s="52"/>
      <c r="AE2617" s="52"/>
      <c r="AF2617" s="52"/>
      <c r="AG2617" s="52"/>
      <c r="AH2617" s="52"/>
      <c r="AM2617" s="52"/>
      <c r="AN2617" s="52"/>
    </row>
    <row r="2618" spans="16:40" x14ac:dyDescent="0.2">
      <c r="P2618" s="52"/>
      <c r="Q2618" s="52"/>
      <c r="R2618" s="52"/>
      <c r="S2618" s="52"/>
      <c r="T2618" s="52"/>
      <c r="U2618" s="52"/>
      <c r="V2618" s="52"/>
      <c r="W2618" s="52"/>
      <c r="X2618" s="52"/>
      <c r="Y2618" s="52"/>
      <c r="Z2618" s="52"/>
      <c r="AA2618" s="52"/>
      <c r="AB2618" s="52"/>
      <c r="AC2618" s="52"/>
      <c r="AD2618" s="52"/>
      <c r="AE2618" s="52"/>
      <c r="AF2618" s="52"/>
      <c r="AG2618" s="52"/>
      <c r="AH2618" s="52"/>
      <c r="AM2618" s="52"/>
      <c r="AN2618" s="52"/>
    </row>
    <row r="2619" spans="16:40" x14ac:dyDescent="0.2">
      <c r="P2619" s="52"/>
      <c r="Q2619" s="52"/>
      <c r="R2619" s="52"/>
      <c r="S2619" s="52"/>
      <c r="T2619" s="52"/>
      <c r="U2619" s="52"/>
      <c r="V2619" s="52"/>
      <c r="W2619" s="52"/>
      <c r="X2619" s="52"/>
      <c r="Y2619" s="52"/>
      <c r="Z2619" s="52"/>
      <c r="AA2619" s="52"/>
      <c r="AB2619" s="52"/>
      <c r="AC2619" s="52"/>
      <c r="AD2619" s="52"/>
      <c r="AE2619" s="52"/>
      <c r="AF2619" s="52"/>
      <c r="AG2619" s="52"/>
      <c r="AH2619" s="52"/>
      <c r="AM2619" s="52"/>
      <c r="AN2619" s="52"/>
    </row>
    <row r="2620" spans="16:40" x14ac:dyDescent="0.2">
      <c r="P2620" s="52"/>
      <c r="Q2620" s="52"/>
      <c r="R2620" s="52"/>
      <c r="S2620" s="52"/>
      <c r="T2620" s="52"/>
      <c r="U2620" s="52"/>
      <c r="V2620" s="52"/>
      <c r="W2620" s="52"/>
      <c r="X2620" s="52"/>
      <c r="Y2620" s="52"/>
      <c r="Z2620" s="52"/>
      <c r="AA2620" s="52"/>
      <c r="AB2620" s="52"/>
      <c r="AC2620" s="52"/>
      <c r="AD2620" s="52"/>
      <c r="AE2620" s="52"/>
      <c r="AF2620" s="52"/>
      <c r="AG2620" s="52"/>
      <c r="AH2620" s="52"/>
      <c r="AM2620" s="52"/>
      <c r="AN2620" s="52"/>
    </row>
    <row r="2621" spans="16:40" x14ac:dyDescent="0.2">
      <c r="P2621" s="52"/>
      <c r="Q2621" s="52"/>
      <c r="R2621" s="52"/>
      <c r="S2621" s="52"/>
      <c r="T2621" s="52"/>
      <c r="U2621" s="52"/>
      <c r="V2621" s="52"/>
      <c r="W2621" s="52"/>
      <c r="X2621" s="52"/>
      <c r="Y2621" s="52"/>
      <c r="Z2621" s="52"/>
      <c r="AA2621" s="52"/>
      <c r="AB2621" s="52"/>
      <c r="AC2621" s="52"/>
      <c r="AD2621" s="52"/>
      <c r="AE2621" s="52"/>
      <c r="AF2621" s="52"/>
      <c r="AG2621" s="52"/>
      <c r="AH2621" s="52"/>
      <c r="AM2621" s="52"/>
      <c r="AN2621" s="52"/>
    </row>
    <row r="2622" spans="16:40" x14ac:dyDescent="0.2">
      <c r="P2622" s="52"/>
      <c r="Q2622" s="52"/>
      <c r="R2622" s="52"/>
      <c r="S2622" s="52"/>
      <c r="T2622" s="52"/>
      <c r="U2622" s="52"/>
      <c r="V2622" s="52"/>
      <c r="W2622" s="52"/>
      <c r="X2622" s="52"/>
      <c r="Y2622" s="52"/>
      <c r="Z2622" s="52"/>
      <c r="AA2622" s="52"/>
      <c r="AB2622" s="52"/>
      <c r="AC2622" s="52"/>
      <c r="AD2622" s="52"/>
      <c r="AE2622" s="52"/>
      <c r="AF2622" s="52"/>
      <c r="AG2622" s="52"/>
      <c r="AH2622" s="52"/>
      <c r="AM2622" s="52"/>
      <c r="AN2622" s="52"/>
    </row>
    <row r="2623" spans="16:40" x14ac:dyDescent="0.2">
      <c r="P2623" s="52"/>
      <c r="Q2623" s="52"/>
      <c r="R2623" s="52"/>
      <c r="S2623" s="52"/>
      <c r="T2623" s="52"/>
      <c r="U2623" s="52"/>
      <c r="V2623" s="52"/>
      <c r="W2623" s="52"/>
      <c r="X2623" s="52"/>
      <c r="Y2623" s="52"/>
      <c r="Z2623" s="52"/>
      <c r="AA2623" s="52"/>
      <c r="AB2623" s="52"/>
      <c r="AC2623" s="52"/>
      <c r="AD2623" s="52"/>
      <c r="AE2623" s="52"/>
      <c r="AF2623" s="52"/>
      <c r="AG2623" s="52"/>
      <c r="AH2623" s="52"/>
      <c r="AM2623" s="52"/>
      <c r="AN2623" s="52"/>
    </row>
    <row r="2624" spans="16:40" x14ac:dyDescent="0.2">
      <c r="P2624" s="52"/>
      <c r="Q2624" s="52"/>
      <c r="R2624" s="52"/>
      <c r="S2624" s="52"/>
      <c r="T2624" s="52"/>
      <c r="U2624" s="52"/>
      <c r="V2624" s="52"/>
      <c r="W2624" s="52"/>
      <c r="X2624" s="52"/>
      <c r="Y2624" s="52"/>
      <c r="Z2624" s="52"/>
      <c r="AA2624" s="52"/>
      <c r="AB2624" s="52"/>
      <c r="AC2624" s="52"/>
      <c r="AD2624" s="52"/>
      <c r="AE2624" s="52"/>
      <c r="AF2624" s="52"/>
      <c r="AG2624" s="52"/>
      <c r="AH2624" s="52"/>
      <c r="AM2624" s="52"/>
      <c r="AN2624" s="52"/>
    </row>
    <row r="2625" spans="16:40" x14ac:dyDescent="0.2">
      <c r="P2625" s="52"/>
      <c r="Q2625" s="52"/>
      <c r="R2625" s="52"/>
      <c r="S2625" s="52"/>
      <c r="T2625" s="52"/>
      <c r="U2625" s="52"/>
      <c r="V2625" s="52"/>
      <c r="W2625" s="52"/>
      <c r="X2625" s="52"/>
      <c r="Y2625" s="52"/>
      <c r="Z2625" s="52"/>
      <c r="AA2625" s="52"/>
      <c r="AB2625" s="52"/>
      <c r="AC2625" s="52"/>
      <c r="AD2625" s="52"/>
      <c r="AE2625" s="52"/>
      <c r="AF2625" s="52"/>
      <c r="AG2625" s="52"/>
      <c r="AH2625" s="52"/>
      <c r="AM2625" s="52"/>
      <c r="AN2625" s="52"/>
    </row>
    <row r="2626" spans="16:40" x14ac:dyDescent="0.2">
      <c r="P2626" s="52"/>
      <c r="Q2626" s="52"/>
      <c r="R2626" s="52"/>
      <c r="S2626" s="52"/>
      <c r="T2626" s="52"/>
      <c r="U2626" s="52"/>
      <c r="V2626" s="52"/>
      <c r="W2626" s="52"/>
      <c r="X2626" s="52"/>
      <c r="Y2626" s="52"/>
      <c r="Z2626" s="52"/>
      <c r="AA2626" s="52"/>
      <c r="AB2626" s="52"/>
      <c r="AC2626" s="52"/>
      <c r="AD2626" s="52"/>
      <c r="AE2626" s="52"/>
      <c r="AF2626" s="52"/>
      <c r="AG2626" s="52"/>
      <c r="AH2626" s="52"/>
      <c r="AM2626" s="52"/>
      <c r="AN2626" s="52"/>
    </row>
    <row r="2627" spans="16:40" x14ac:dyDescent="0.2">
      <c r="P2627" s="52"/>
      <c r="Q2627" s="52"/>
      <c r="R2627" s="52"/>
      <c r="S2627" s="52"/>
      <c r="T2627" s="52"/>
      <c r="U2627" s="52"/>
      <c r="V2627" s="52"/>
      <c r="W2627" s="52"/>
      <c r="X2627" s="52"/>
      <c r="Y2627" s="52"/>
      <c r="Z2627" s="52"/>
      <c r="AA2627" s="52"/>
      <c r="AB2627" s="52"/>
      <c r="AC2627" s="52"/>
      <c r="AD2627" s="52"/>
      <c r="AE2627" s="52"/>
      <c r="AF2627" s="52"/>
      <c r="AG2627" s="52"/>
      <c r="AH2627" s="52"/>
      <c r="AM2627" s="52"/>
      <c r="AN2627" s="52"/>
    </row>
    <row r="2628" spans="16:40" x14ac:dyDescent="0.2">
      <c r="P2628" s="52"/>
      <c r="Q2628" s="52"/>
      <c r="R2628" s="52"/>
      <c r="S2628" s="52"/>
      <c r="T2628" s="52"/>
      <c r="U2628" s="52"/>
      <c r="V2628" s="52"/>
      <c r="W2628" s="52"/>
      <c r="X2628" s="52"/>
      <c r="Y2628" s="52"/>
      <c r="Z2628" s="52"/>
      <c r="AA2628" s="52"/>
      <c r="AB2628" s="52"/>
      <c r="AC2628" s="52"/>
      <c r="AD2628" s="52"/>
      <c r="AE2628" s="52"/>
      <c r="AF2628" s="52"/>
      <c r="AG2628" s="52"/>
      <c r="AH2628" s="52"/>
      <c r="AM2628" s="52"/>
      <c r="AN2628" s="52"/>
    </row>
    <row r="2629" spans="16:40" x14ac:dyDescent="0.2">
      <c r="P2629" s="52"/>
      <c r="Q2629" s="52"/>
      <c r="R2629" s="52"/>
      <c r="S2629" s="52"/>
      <c r="T2629" s="52"/>
      <c r="U2629" s="52"/>
      <c r="V2629" s="52"/>
      <c r="W2629" s="52"/>
      <c r="X2629" s="52"/>
      <c r="Y2629" s="52"/>
      <c r="Z2629" s="52"/>
      <c r="AA2629" s="52"/>
      <c r="AB2629" s="52"/>
      <c r="AC2629" s="52"/>
      <c r="AD2629" s="52"/>
      <c r="AE2629" s="52"/>
      <c r="AF2629" s="52"/>
      <c r="AG2629" s="52"/>
      <c r="AH2629" s="52"/>
      <c r="AM2629" s="52"/>
      <c r="AN2629" s="52"/>
    </row>
    <row r="2630" spans="16:40" x14ac:dyDescent="0.2">
      <c r="P2630" s="52"/>
      <c r="Q2630" s="52"/>
      <c r="R2630" s="52"/>
      <c r="S2630" s="52"/>
      <c r="T2630" s="52"/>
      <c r="U2630" s="52"/>
      <c r="V2630" s="52"/>
      <c r="W2630" s="52"/>
      <c r="X2630" s="52"/>
      <c r="Y2630" s="52"/>
      <c r="Z2630" s="52"/>
      <c r="AA2630" s="52"/>
      <c r="AB2630" s="52"/>
      <c r="AC2630" s="52"/>
      <c r="AD2630" s="52"/>
      <c r="AE2630" s="52"/>
      <c r="AF2630" s="52"/>
      <c r="AG2630" s="52"/>
      <c r="AH2630" s="52"/>
      <c r="AM2630" s="52"/>
      <c r="AN2630" s="52"/>
    </row>
    <row r="2631" spans="16:40" x14ac:dyDescent="0.2">
      <c r="P2631" s="52"/>
      <c r="Q2631" s="52"/>
      <c r="R2631" s="52"/>
      <c r="S2631" s="52"/>
      <c r="T2631" s="52"/>
      <c r="U2631" s="52"/>
      <c r="V2631" s="52"/>
      <c r="W2631" s="52"/>
      <c r="X2631" s="52"/>
      <c r="Y2631" s="52"/>
      <c r="Z2631" s="52"/>
      <c r="AA2631" s="52"/>
      <c r="AB2631" s="52"/>
      <c r="AC2631" s="52"/>
      <c r="AD2631" s="52"/>
      <c r="AE2631" s="52"/>
      <c r="AF2631" s="52"/>
      <c r="AG2631" s="52"/>
      <c r="AH2631" s="52"/>
      <c r="AM2631" s="52"/>
      <c r="AN2631" s="52"/>
    </row>
    <row r="2632" spans="16:40" x14ac:dyDescent="0.2">
      <c r="P2632" s="52"/>
      <c r="Q2632" s="52"/>
      <c r="R2632" s="52"/>
      <c r="S2632" s="52"/>
      <c r="T2632" s="52"/>
      <c r="U2632" s="52"/>
      <c r="V2632" s="52"/>
      <c r="W2632" s="52"/>
      <c r="X2632" s="52"/>
      <c r="Y2632" s="52"/>
      <c r="Z2632" s="52"/>
      <c r="AA2632" s="52"/>
      <c r="AB2632" s="52"/>
      <c r="AC2632" s="52"/>
      <c r="AD2632" s="52"/>
      <c r="AE2632" s="52"/>
      <c r="AF2632" s="52"/>
      <c r="AG2632" s="52"/>
      <c r="AH2632" s="52"/>
      <c r="AM2632" s="52"/>
      <c r="AN2632" s="52"/>
    </row>
    <row r="2633" spans="16:40" x14ac:dyDescent="0.2">
      <c r="P2633" s="52"/>
      <c r="Q2633" s="52"/>
      <c r="R2633" s="52"/>
      <c r="S2633" s="52"/>
      <c r="T2633" s="52"/>
      <c r="U2633" s="52"/>
      <c r="V2633" s="52"/>
      <c r="W2633" s="52"/>
      <c r="X2633" s="52"/>
      <c r="Y2633" s="52"/>
      <c r="Z2633" s="52"/>
      <c r="AA2633" s="52"/>
      <c r="AB2633" s="52"/>
      <c r="AC2633" s="52"/>
      <c r="AD2633" s="52"/>
      <c r="AE2633" s="52"/>
      <c r="AF2633" s="52"/>
      <c r="AG2633" s="52"/>
      <c r="AH2633" s="52"/>
      <c r="AM2633" s="52"/>
      <c r="AN2633" s="52"/>
    </row>
    <row r="2634" spans="16:40" x14ac:dyDescent="0.2">
      <c r="P2634" s="52"/>
      <c r="Q2634" s="52"/>
      <c r="R2634" s="52"/>
      <c r="S2634" s="52"/>
      <c r="T2634" s="52"/>
      <c r="U2634" s="52"/>
      <c r="V2634" s="52"/>
      <c r="W2634" s="52"/>
      <c r="X2634" s="52"/>
      <c r="Y2634" s="52"/>
      <c r="Z2634" s="52"/>
      <c r="AA2634" s="52"/>
      <c r="AB2634" s="52"/>
      <c r="AC2634" s="52"/>
      <c r="AD2634" s="52"/>
      <c r="AE2634" s="52"/>
      <c r="AF2634" s="52"/>
      <c r="AG2634" s="52"/>
      <c r="AH2634" s="52"/>
      <c r="AM2634" s="52"/>
      <c r="AN2634" s="52"/>
    </row>
    <row r="2635" spans="16:40" x14ac:dyDescent="0.2">
      <c r="P2635" s="52"/>
      <c r="Q2635" s="52"/>
      <c r="R2635" s="52"/>
      <c r="S2635" s="52"/>
      <c r="T2635" s="52"/>
      <c r="U2635" s="52"/>
      <c r="V2635" s="52"/>
      <c r="W2635" s="52"/>
      <c r="X2635" s="52"/>
      <c r="Y2635" s="52"/>
      <c r="Z2635" s="52"/>
      <c r="AA2635" s="52"/>
      <c r="AB2635" s="52"/>
      <c r="AC2635" s="52"/>
      <c r="AD2635" s="52"/>
      <c r="AE2635" s="52"/>
      <c r="AF2635" s="52"/>
      <c r="AG2635" s="52"/>
      <c r="AH2635" s="52"/>
      <c r="AM2635" s="52"/>
      <c r="AN2635" s="52"/>
    </row>
    <row r="2636" spans="16:40" x14ac:dyDescent="0.2">
      <c r="P2636" s="52"/>
      <c r="Q2636" s="52"/>
      <c r="R2636" s="52"/>
      <c r="S2636" s="52"/>
      <c r="T2636" s="52"/>
      <c r="U2636" s="52"/>
      <c r="V2636" s="52"/>
      <c r="W2636" s="52"/>
      <c r="X2636" s="52"/>
      <c r="Y2636" s="52"/>
      <c r="Z2636" s="52"/>
      <c r="AA2636" s="52"/>
      <c r="AB2636" s="52"/>
      <c r="AC2636" s="52"/>
      <c r="AD2636" s="52"/>
      <c r="AE2636" s="52"/>
      <c r="AF2636" s="52"/>
      <c r="AG2636" s="52"/>
      <c r="AH2636" s="52"/>
      <c r="AM2636" s="52"/>
      <c r="AN2636" s="52"/>
    </row>
    <row r="2637" spans="16:40" x14ac:dyDescent="0.2">
      <c r="P2637" s="52"/>
      <c r="Q2637" s="52"/>
      <c r="R2637" s="52"/>
      <c r="S2637" s="52"/>
      <c r="T2637" s="52"/>
      <c r="U2637" s="52"/>
      <c r="V2637" s="52"/>
      <c r="W2637" s="52"/>
      <c r="X2637" s="52"/>
      <c r="Y2637" s="52"/>
      <c r="Z2637" s="52"/>
      <c r="AA2637" s="52"/>
      <c r="AB2637" s="52"/>
      <c r="AC2637" s="52"/>
      <c r="AD2637" s="52"/>
      <c r="AE2637" s="52"/>
      <c r="AF2637" s="52"/>
      <c r="AG2637" s="52"/>
      <c r="AH2637" s="52"/>
      <c r="AM2637" s="52"/>
      <c r="AN2637" s="52"/>
    </row>
    <row r="2638" spans="16:40" x14ac:dyDescent="0.2">
      <c r="P2638" s="52"/>
      <c r="Q2638" s="52"/>
      <c r="R2638" s="52"/>
      <c r="S2638" s="52"/>
      <c r="T2638" s="52"/>
      <c r="U2638" s="52"/>
      <c r="V2638" s="52"/>
      <c r="W2638" s="52"/>
      <c r="X2638" s="52"/>
      <c r="Y2638" s="52"/>
      <c r="Z2638" s="52"/>
      <c r="AA2638" s="52"/>
      <c r="AB2638" s="52"/>
      <c r="AC2638" s="52"/>
      <c r="AD2638" s="52"/>
      <c r="AE2638" s="52"/>
      <c r="AF2638" s="52"/>
      <c r="AG2638" s="52"/>
      <c r="AH2638" s="52"/>
      <c r="AM2638" s="52"/>
      <c r="AN2638" s="52"/>
    </row>
    <row r="2639" spans="16:40" x14ac:dyDescent="0.2">
      <c r="P2639" s="52"/>
      <c r="Q2639" s="52"/>
      <c r="R2639" s="52"/>
      <c r="S2639" s="52"/>
      <c r="T2639" s="52"/>
      <c r="U2639" s="52"/>
      <c r="V2639" s="52"/>
      <c r="W2639" s="52"/>
      <c r="X2639" s="52"/>
      <c r="Y2639" s="52"/>
      <c r="Z2639" s="52"/>
      <c r="AA2639" s="52"/>
      <c r="AB2639" s="52"/>
      <c r="AC2639" s="52"/>
      <c r="AD2639" s="52"/>
      <c r="AE2639" s="52"/>
      <c r="AF2639" s="52"/>
      <c r="AG2639" s="52"/>
      <c r="AH2639" s="52"/>
      <c r="AM2639" s="52"/>
      <c r="AN2639" s="52"/>
    </row>
    <row r="2640" spans="16:40" x14ac:dyDescent="0.2">
      <c r="P2640" s="52"/>
      <c r="Q2640" s="52"/>
      <c r="R2640" s="52"/>
      <c r="S2640" s="52"/>
      <c r="T2640" s="52"/>
      <c r="U2640" s="52"/>
      <c r="V2640" s="52"/>
      <c r="W2640" s="52"/>
      <c r="X2640" s="52"/>
      <c r="Y2640" s="52"/>
      <c r="Z2640" s="52"/>
      <c r="AA2640" s="52"/>
      <c r="AB2640" s="52"/>
      <c r="AC2640" s="52"/>
      <c r="AD2640" s="52"/>
      <c r="AE2640" s="52"/>
      <c r="AF2640" s="52"/>
      <c r="AG2640" s="52"/>
      <c r="AH2640" s="52"/>
      <c r="AM2640" s="52"/>
      <c r="AN2640" s="52"/>
    </row>
    <row r="2641" spans="16:40" x14ac:dyDescent="0.2">
      <c r="P2641" s="52"/>
      <c r="Q2641" s="52"/>
      <c r="R2641" s="52"/>
      <c r="S2641" s="52"/>
      <c r="T2641" s="52"/>
      <c r="U2641" s="52"/>
      <c r="V2641" s="52"/>
      <c r="W2641" s="52"/>
      <c r="X2641" s="52"/>
      <c r="Y2641" s="52"/>
      <c r="Z2641" s="52"/>
      <c r="AA2641" s="52"/>
      <c r="AB2641" s="52"/>
      <c r="AC2641" s="52"/>
      <c r="AD2641" s="52"/>
      <c r="AE2641" s="52"/>
      <c r="AF2641" s="52"/>
      <c r="AG2641" s="52"/>
      <c r="AH2641" s="52"/>
      <c r="AM2641" s="52"/>
      <c r="AN2641" s="52"/>
    </row>
    <row r="2642" spans="16:40" x14ac:dyDescent="0.2">
      <c r="P2642" s="52"/>
      <c r="Q2642" s="52"/>
      <c r="R2642" s="52"/>
      <c r="S2642" s="52"/>
      <c r="T2642" s="52"/>
      <c r="U2642" s="52"/>
      <c r="V2642" s="52"/>
      <c r="W2642" s="52"/>
      <c r="X2642" s="52"/>
      <c r="Y2642" s="52"/>
      <c r="Z2642" s="52"/>
      <c r="AA2642" s="52"/>
      <c r="AB2642" s="52"/>
      <c r="AC2642" s="52"/>
      <c r="AD2642" s="52"/>
      <c r="AE2642" s="52"/>
      <c r="AF2642" s="52"/>
      <c r="AG2642" s="52"/>
      <c r="AH2642" s="52"/>
      <c r="AM2642" s="52"/>
      <c r="AN2642" s="52"/>
    </row>
    <row r="2643" spans="16:40" x14ac:dyDescent="0.2">
      <c r="P2643" s="52"/>
      <c r="Q2643" s="52"/>
      <c r="R2643" s="52"/>
      <c r="S2643" s="52"/>
      <c r="T2643" s="52"/>
      <c r="U2643" s="52"/>
      <c r="V2643" s="52"/>
      <c r="W2643" s="52"/>
      <c r="X2643" s="52"/>
      <c r="Y2643" s="52"/>
      <c r="Z2643" s="52"/>
      <c r="AA2643" s="52"/>
      <c r="AB2643" s="52"/>
      <c r="AC2643" s="52"/>
      <c r="AD2643" s="52"/>
      <c r="AE2643" s="52"/>
      <c r="AF2643" s="52"/>
      <c r="AG2643" s="52"/>
      <c r="AH2643" s="52"/>
      <c r="AM2643" s="52"/>
      <c r="AN2643" s="52"/>
    </row>
    <row r="2644" spans="16:40" x14ac:dyDescent="0.2"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2"/>
      <c r="AA2644" s="52"/>
      <c r="AB2644" s="52"/>
      <c r="AC2644" s="52"/>
      <c r="AD2644" s="52"/>
      <c r="AE2644" s="52"/>
      <c r="AF2644" s="52"/>
      <c r="AG2644" s="52"/>
      <c r="AH2644" s="52"/>
      <c r="AM2644" s="52"/>
      <c r="AN2644" s="52"/>
    </row>
    <row r="2645" spans="16:40" x14ac:dyDescent="0.2">
      <c r="P2645" s="52"/>
      <c r="Q2645" s="52"/>
      <c r="R2645" s="52"/>
      <c r="S2645" s="52"/>
      <c r="T2645" s="52"/>
      <c r="U2645" s="52"/>
      <c r="V2645" s="52"/>
      <c r="W2645" s="52"/>
      <c r="X2645" s="52"/>
      <c r="Y2645" s="52"/>
      <c r="Z2645" s="52"/>
      <c r="AA2645" s="52"/>
      <c r="AB2645" s="52"/>
      <c r="AC2645" s="52"/>
      <c r="AD2645" s="52"/>
      <c r="AE2645" s="52"/>
      <c r="AF2645" s="52"/>
      <c r="AG2645" s="52"/>
      <c r="AH2645" s="52"/>
      <c r="AM2645" s="52"/>
      <c r="AN2645" s="52"/>
    </row>
    <row r="2646" spans="16:40" x14ac:dyDescent="0.2">
      <c r="P2646" s="52"/>
      <c r="Q2646" s="52"/>
      <c r="R2646" s="52"/>
      <c r="S2646" s="52"/>
      <c r="T2646" s="52"/>
      <c r="U2646" s="52"/>
      <c r="V2646" s="52"/>
      <c r="W2646" s="52"/>
      <c r="X2646" s="52"/>
      <c r="Y2646" s="52"/>
      <c r="Z2646" s="52"/>
      <c r="AA2646" s="52"/>
      <c r="AB2646" s="52"/>
      <c r="AC2646" s="52"/>
      <c r="AD2646" s="52"/>
      <c r="AE2646" s="52"/>
      <c r="AF2646" s="52"/>
      <c r="AG2646" s="52"/>
      <c r="AH2646" s="52"/>
      <c r="AM2646" s="52"/>
      <c r="AN2646" s="52"/>
    </row>
    <row r="2647" spans="16:40" x14ac:dyDescent="0.2">
      <c r="P2647" s="52"/>
      <c r="Q2647" s="52"/>
      <c r="R2647" s="52"/>
      <c r="S2647" s="52"/>
      <c r="T2647" s="52"/>
      <c r="U2647" s="52"/>
      <c r="V2647" s="52"/>
      <c r="W2647" s="52"/>
      <c r="X2647" s="52"/>
      <c r="Y2647" s="52"/>
      <c r="Z2647" s="52"/>
      <c r="AA2647" s="52"/>
      <c r="AB2647" s="52"/>
      <c r="AC2647" s="52"/>
      <c r="AD2647" s="52"/>
      <c r="AE2647" s="52"/>
      <c r="AF2647" s="52"/>
      <c r="AG2647" s="52"/>
      <c r="AH2647" s="52"/>
      <c r="AM2647" s="52"/>
      <c r="AN2647" s="52"/>
    </row>
    <row r="2648" spans="16:40" x14ac:dyDescent="0.2">
      <c r="P2648" s="52"/>
      <c r="Q2648" s="52"/>
      <c r="R2648" s="52"/>
      <c r="S2648" s="52"/>
      <c r="T2648" s="52"/>
      <c r="U2648" s="52"/>
      <c r="V2648" s="52"/>
      <c r="W2648" s="52"/>
      <c r="X2648" s="52"/>
      <c r="Y2648" s="52"/>
      <c r="Z2648" s="52"/>
      <c r="AA2648" s="52"/>
      <c r="AB2648" s="52"/>
      <c r="AC2648" s="52"/>
      <c r="AD2648" s="52"/>
      <c r="AE2648" s="52"/>
      <c r="AF2648" s="52"/>
      <c r="AG2648" s="52"/>
      <c r="AH2648" s="52"/>
      <c r="AM2648" s="52"/>
      <c r="AN2648" s="52"/>
    </row>
    <row r="2649" spans="16:40" x14ac:dyDescent="0.2">
      <c r="P2649" s="52"/>
      <c r="Q2649" s="52"/>
      <c r="R2649" s="52"/>
      <c r="S2649" s="52"/>
      <c r="T2649" s="52"/>
      <c r="U2649" s="52"/>
      <c r="V2649" s="52"/>
      <c r="W2649" s="52"/>
      <c r="X2649" s="52"/>
      <c r="Y2649" s="52"/>
      <c r="Z2649" s="52"/>
      <c r="AA2649" s="52"/>
      <c r="AB2649" s="52"/>
      <c r="AC2649" s="52"/>
      <c r="AD2649" s="52"/>
      <c r="AE2649" s="52"/>
      <c r="AF2649" s="52"/>
      <c r="AG2649" s="52"/>
      <c r="AH2649" s="52"/>
      <c r="AM2649" s="52"/>
      <c r="AN2649" s="52"/>
    </row>
    <row r="2650" spans="16:40" x14ac:dyDescent="0.2">
      <c r="P2650" s="52"/>
      <c r="Q2650" s="52"/>
      <c r="R2650" s="52"/>
      <c r="S2650" s="52"/>
      <c r="T2650" s="52"/>
      <c r="U2650" s="52"/>
      <c r="V2650" s="52"/>
      <c r="W2650" s="52"/>
      <c r="X2650" s="52"/>
      <c r="Y2650" s="52"/>
      <c r="Z2650" s="52"/>
      <c r="AA2650" s="52"/>
      <c r="AB2650" s="52"/>
      <c r="AC2650" s="52"/>
      <c r="AD2650" s="52"/>
      <c r="AE2650" s="52"/>
      <c r="AF2650" s="52"/>
      <c r="AG2650" s="52"/>
      <c r="AH2650" s="52"/>
      <c r="AM2650" s="52"/>
      <c r="AN2650" s="52"/>
    </row>
    <row r="2651" spans="16:40" x14ac:dyDescent="0.2">
      <c r="P2651" s="52"/>
      <c r="Q2651" s="52"/>
      <c r="R2651" s="52"/>
      <c r="S2651" s="52"/>
      <c r="T2651" s="52"/>
      <c r="U2651" s="52"/>
      <c r="V2651" s="52"/>
      <c r="W2651" s="52"/>
      <c r="X2651" s="52"/>
      <c r="Y2651" s="52"/>
      <c r="Z2651" s="52"/>
      <c r="AA2651" s="52"/>
      <c r="AB2651" s="52"/>
      <c r="AC2651" s="52"/>
      <c r="AD2651" s="52"/>
      <c r="AE2651" s="52"/>
      <c r="AF2651" s="52"/>
      <c r="AG2651" s="52"/>
      <c r="AH2651" s="52"/>
      <c r="AM2651" s="52"/>
      <c r="AN2651" s="52"/>
    </row>
    <row r="2652" spans="16:40" x14ac:dyDescent="0.2">
      <c r="P2652" s="52"/>
      <c r="Q2652" s="52"/>
      <c r="R2652" s="52"/>
      <c r="S2652" s="52"/>
      <c r="T2652" s="52"/>
      <c r="U2652" s="52"/>
      <c r="V2652" s="52"/>
      <c r="W2652" s="52"/>
      <c r="X2652" s="52"/>
      <c r="Y2652" s="52"/>
      <c r="Z2652" s="52"/>
      <c r="AA2652" s="52"/>
      <c r="AB2652" s="52"/>
      <c r="AC2652" s="52"/>
      <c r="AD2652" s="52"/>
      <c r="AE2652" s="52"/>
      <c r="AF2652" s="52"/>
      <c r="AG2652" s="52"/>
      <c r="AH2652" s="52"/>
      <c r="AM2652" s="52"/>
      <c r="AN2652" s="52"/>
    </row>
    <row r="2653" spans="16:40" x14ac:dyDescent="0.2">
      <c r="P2653" s="52"/>
      <c r="Q2653" s="52"/>
      <c r="R2653" s="52"/>
      <c r="S2653" s="52"/>
      <c r="T2653" s="52"/>
      <c r="U2653" s="52"/>
      <c r="V2653" s="52"/>
      <c r="W2653" s="52"/>
      <c r="X2653" s="52"/>
      <c r="Y2653" s="52"/>
      <c r="Z2653" s="52"/>
      <c r="AA2653" s="52"/>
      <c r="AB2653" s="52"/>
      <c r="AC2653" s="52"/>
      <c r="AD2653" s="52"/>
      <c r="AE2653" s="52"/>
      <c r="AF2653" s="52"/>
      <c r="AG2653" s="52"/>
      <c r="AH2653" s="52"/>
      <c r="AM2653" s="52"/>
      <c r="AN2653" s="52"/>
    </row>
    <row r="2654" spans="16:40" x14ac:dyDescent="0.2">
      <c r="P2654" s="52"/>
      <c r="Q2654" s="52"/>
      <c r="R2654" s="52"/>
      <c r="S2654" s="52"/>
      <c r="T2654" s="52"/>
      <c r="U2654" s="52"/>
      <c r="V2654" s="52"/>
      <c r="W2654" s="52"/>
      <c r="X2654" s="52"/>
      <c r="Y2654" s="52"/>
      <c r="Z2654" s="52"/>
      <c r="AA2654" s="52"/>
      <c r="AB2654" s="52"/>
      <c r="AC2654" s="52"/>
      <c r="AD2654" s="52"/>
      <c r="AE2654" s="52"/>
      <c r="AF2654" s="52"/>
      <c r="AG2654" s="52"/>
      <c r="AH2654" s="52"/>
      <c r="AM2654" s="52"/>
      <c r="AN2654" s="52"/>
    </row>
    <row r="2655" spans="16:40" x14ac:dyDescent="0.2">
      <c r="P2655" s="52"/>
      <c r="Q2655" s="52"/>
      <c r="R2655" s="52"/>
      <c r="S2655" s="52"/>
      <c r="T2655" s="52"/>
      <c r="U2655" s="52"/>
      <c r="V2655" s="52"/>
      <c r="W2655" s="52"/>
      <c r="X2655" s="52"/>
      <c r="Y2655" s="52"/>
      <c r="Z2655" s="52"/>
      <c r="AA2655" s="52"/>
      <c r="AB2655" s="52"/>
      <c r="AC2655" s="52"/>
      <c r="AD2655" s="52"/>
      <c r="AE2655" s="52"/>
      <c r="AF2655" s="52"/>
      <c r="AG2655" s="52"/>
      <c r="AH2655" s="52"/>
      <c r="AM2655" s="52"/>
      <c r="AN2655" s="52"/>
    </row>
    <row r="2656" spans="16:40" x14ac:dyDescent="0.2">
      <c r="P2656" s="52"/>
      <c r="Q2656" s="52"/>
      <c r="R2656" s="52"/>
      <c r="S2656" s="52"/>
      <c r="T2656" s="52"/>
      <c r="U2656" s="52"/>
      <c r="V2656" s="52"/>
      <c r="W2656" s="52"/>
      <c r="X2656" s="52"/>
      <c r="Y2656" s="52"/>
      <c r="Z2656" s="52"/>
      <c r="AA2656" s="52"/>
      <c r="AB2656" s="52"/>
      <c r="AC2656" s="52"/>
      <c r="AD2656" s="52"/>
      <c r="AE2656" s="52"/>
      <c r="AF2656" s="52"/>
      <c r="AG2656" s="52"/>
      <c r="AH2656" s="52"/>
      <c r="AM2656" s="52"/>
      <c r="AN2656" s="52"/>
    </row>
    <row r="2657" spans="16:40" x14ac:dyDescent="0.2">
      <c r="P2657" s="52"/>
      <c r="Q2657" s="52"/>
      <c r="R2657" s="52"/>
      <c r="S2657" s="52"/>
      <c r="T2657" s="52"/>
      <c r="U2657" s="52"/>
      <c r="V2657" s="52"/>
      <c r="W2657" s="52"/>
      <c r="X2657" s="52"/>
      <c r="Y2657" s="52"/>
      <c r="Z2657" s="52"/>
      <c r="AA2657" s="52"/>
      <c r="AB2657" s="52"/>
      <c r="AC2657" s="52"/>
      <c r="AD2657" s="52"/>
      <c r="AE2657" s="52"/>
      <c r="AF2657" s="52"/>
      <c r="AG2657" s="52"/>
      <c r="AH2657" s="52"/>
      <c r="AM2657" s="52"/>
      <c r="AN2657" s="52"/>
    </row>
    <row r="2658" spans="16:40" x14ac:dyDescent="0.2">
      <c r="P2658" s="52"/>
      <c r="Q2658" s="52"/>
      <c r="R2658" s="52"/>
      <c r="S2658" s="52"/>
      <c r="T2658" s="52"/>
      <c r="U2658" s="52"/>
      <c r="V2658" s="52"/>
      <c r="W2658" s="52"/>
      <c r="X2658" s="52"/>
      <c r="Y2658" s="52"/>
      <c r="Z2658" s="52"/>
      <c r="AA2658" s="52"/>
      <c r="AB2658" s="52"/>
      <c r="AC2658" s="52"/>
      <c r="AD2658" s="52"/>
      <c r="AE2658" s="52"/>
      <c r="AF2658" s="52"/>
      <c r="AG2658" s="52"/>
      <c r="AH2658" s="52"/>
      <c r="AM2658" s="52"/>
      <c r="AN2658" s="52"/>
    </row>
    <row r="2659" spans="16:40" x14ac:dyDescent="0.2">
      <c r="P2659" s="52"/>
      <c r="Q2659" s="52"/>
      <c r="R2659" s="52"/>
      <c r="S2659" s="52"/>
      <c r="T2659" s="52"/>
      <c r="U2659" s="52"/>
      <c r="V2659" s="52"/>
      <c r="W2659" s="52"/>
      <c r="X2659" s="52"/>
      <c r="Y2659" s="52"/>
      <c r="Z2659" s="52"/>
      <c r="AA2659" s="52"/>
      <c r="AB2659" s="52"/>
      <c r="AC2659" s="52"/>
      <c r="AD2659" s="52"/>
      <c r="AE2659" s="52"/>
      <c r="AF2659" s="52"/>
      <c r="AG2659" s="52"/>
      <c r="AH2659" s="52"/>
      <c r="AM2659" s="52"/>
      <c r="AN2659" s="52"/>
    </row>
    <row r="2660" spans="16:40" x14ac:dyDescent="0.2">
      <c r="P2660" s="52"/>
      <c r="Q2660" s="52"/>
      <c r="R2660" s="52"/>
      <c r="S2660" s="52"/>
      <c r="T2660" s="52"/>
      <c r="U2660" s="52"/>
      <c r="V2660" s="52"/>
      <c r="W2660" s="52"/>
      <c r="X2660" s="52"/>
      <c r="Y2660" s="52"/>
      <c r="Z2660" s="52"/>
      <c r="AA2660" s="52"/>
      <c r="AB2660" s="52"/>
      <c r="AC2660" s="52"/>
      <c r="AD2660" s="52"/>
      <c r="AE2660" s="52"/>
      <c r="AF2660" s="52"/>
      <c r="AG2660" s="52"/>
      <c r="AH2660" s="52"/>
      <c r="AM2660" s="52"/>
      <c r="AN2660" s="52"/>
    </row>
    <row r="2661" spans="16:40" x14ac:dyDescent="0.2">
      <c r="P2661" s="52"/>
      <c r="Q2661" s="52"/>
      <c r="R2661" s="52"/>
      <c r="S2661" s="52"/>
      <c r="T2661" s="52"/>
      <c r="U2661" s="52"/>
      <c r="V2661" s="52"/>
      <c r="W2661" s="52"/>
      <c r="X2661" s="52"/>
      <c r="Y2661" s="52"/>
      <c r="Z2661" s="52"/>
      <c r="AA2661" s="52"/>
      <c r="AB2661" s="52"/>
      <c r="AC2661" s="52"/>
      <c r="AD2661" s="52"/>
      <c r="AE2661" s="52"/>
      <c r="AF2661" s="52"/>
      <c r="AG2661" s="52"/>
      <c r="AH2661" s="52"/>
      <c r="AM2661" s="52"/>
      <c r="AN2661" s="52"/>
    </row>
    <row r="2662" spans="16:40" x14ac:dyDescent="0.2">
      <c r="P2662" s="52"/>
      <c r="Q2662" s="52"/>
      <c r="R2662" s="52"/>
      <c r="S2662" s="52"/>
      <c r="T2662" s="52"/>
      <c r="U2662" s="52"/>
      <c r="V2662" s="52"/>
      <c r="W2662" s="52"/>
      <c r="X2662" s="52"/>
      <c r="Y2662" s="52"/>
      <c r="Z2662" s="52"/>
      <c r="AA2662" s="52"/>
      <c r="AB2662" s="52"/>
      <c r="AC2662" s="52"/>
      <c r="AD2662" s="52"/>
      <c r="AE2662" s="52"/>
      <c r="AF2662" s="52"/>
      <c r="AG2662" s="52"/>
      <c r="AH2662" s="52"/>
      <c r="AM2662" s="52"/>
      <c r="AN2662" s="52"/>
    </row>
    <row r="2663" spans="16:40" x14ac:dyDescent="0.2">
      <c r="P2663" s="52"/>
      <c r="Q2663" s="52"/>
      <c r="R2663" s="52"/>
      <c r="S2663" s="52"/>
      <c r="T2663" s="52"/>
      <c r="U2663" s="52"/>
      <c r="V2663" s="52"/>
      <c r="W2663" s="52"/>
      <c r="X2663" s="52"/>
      <c r="Y2663" s="52"/>
      <c r="Z2663" s="52"/>
      <c r="AA2663" s="52"/>
      <c r="AB2663" s="52"/>
      <c r="AC2663" s="52"/>
      <c r="AD2663" s="52"/>
      <c r="AE2663" s="52"/>
      <c r="AF2663" s="52"/>
      <c r="AG2663" s="52"/>
      <c r="AH2663" s="52"/>
      <c r="AM2663" s="52"/>
      <c r="AN2663" s="52"/>
    </row>
    <row r="2664" spans="16:40" x14ac:dyDescent="0.2">
      <c r="P2664" s="52"/>
      <c r="Q2664" s="52"/>
      <c r="R2664" s="52"/>
      <c r="S2664" s="52"/>
      <c r="T2664" s="52"/>
      <c r="U2664" s="52"/>
      <c r="V2664" s="52"/>
      <c r="W2664" s="52"/>
      <c r="X2664" s="52"/>
      <c r="Y2664" s="52"/>
      <c r="Z2664" s="52"/>
      <c r="AA2664" s="52"/>
      <c r="AB2664" s="52"/>
      <c r="AC2664" s="52"/>
      <c r="AD2664" s="52"/>
      <c r="AE2664" s="52"/>
      <c r="AF2664" s="52"/>
      <c r="AG2664" s="52"/>
      <c r="AH2664" s="52"/>
      <c r="AM2664" s="52"/>
      <c r="AN2664" s="52"/>
    </row>
    <row r="2665" spans="16:40" x14ac:dyDescent="0.2">
      <c r="P2665" s="52"/>
      <c r="Q2665" s="52"/>
      <c r="R2665" s="52"/>
      <c r="S2665" s="52"/>
      <c r="T2665" s="52"/>
      <c r="U2665" s="52"/>
      <c r="V2665" s="52"/>
      <c r="W2665" s="52"/>
      <c r="X2665" s="52"/>
      <c r="Y2665" s="52"/>
      <c r="Z2665" s="52"/>
      <c r="AA2665" s="52"/>
      <c r="AB2665" s="52"/>
      <c r="AC2665" s="52"/>
      <c r="AD2665" s="52"/>
      <c r="AE2665" s="52"/>
      <c r="AF2665" s="52"/>
      <c r="AG2665" s="52"/>
      <c r="AH2665" s="52"/>
      <c r="AM2665" s="52"/>
      <c r="AN2665" s="52"/>
    </row>
    <row r="2666" spans="16:40" x14ac:dyDescent="0.2">
      <c r="P2666" s="52"/>
      <c r="Q2666" s="52"/>
      <c r="R2666" s="52"/>
      <c r="S2666" s="52"/>
      <c r="T2666" s="52"/>
      <c r="U2666" s="52"/>
      <c r="V2666" s="52"/>
      <c r="W2666" s="52"/>
      <c r="X2666" s="52"/>
      <c r="Y2666" s="52"/>
      <c r="Z2666" s="52"/>
      <c r="AA2666" s="52"/>
      <c r="AB2666" s="52"/>
      <c r="AC2666" s="52"/>
      <c r="AD2666" s="52"/>
      <c r="AE2666" s="52"/>
      <c r="AF2666" s="52"/>
      <c r="AG2666" s="52"/>
      <c r="AH2666" s="52"/>
      <c r="AM2666" s="52"/>
      <c r="AN2666" s="52"/>
    </row>
    <row r="2667" spans="16:40" x14ac:dyDescent="0.2">
      <c r="P2667" s="52"/>
      <c r="Q2667" s="52"/>
      <c r="R2667" s="52"/>
      <c r="S2667" s="52"/>
      <c r="T2667" s="52"/>
      <c r="U2667" s="52"/>
      <c r="V2667" s="52"/>
      <c r="W2667" s="52"/>
      <c r="X2667" s="52"/>
      <c r="Y2667" s="52"/>
      <c r="Z2667" s="52"/>
      <c r="AA2667" s="52"/>
      <c r="AB2667" s="52"/>
      <c r="AC2667" s="52"/>
      <c r="AD2667" s="52"/>
      <c r="AE2667" s="52"/>
      <c r="AF2667" s="52"/>
      <c r="AG2667" s="52"/>
      <c r="AH2667" s="52"/>
      <c r="AM2667" s="52"/>
      <c r="AN2667" s="52"/>
    </row>
    <row r="2668" spans="16:40" x14ac:dyDescent="0.2">
      <c r="P2668" s="52"/>
      <c r="Q2668" s="52"/>
      <c r="R2668" s="52"/>
      <c r="S2668" s="52"/>
      <c r="T2668" s="52"/>
      <c r="U2668" s="52"/>
      <c r="V2668" s="52"/>
      <c r="W2668" s="52"/>
      <c r="X2668" s="52"/>
      <c r="Y2668" s="52"/>
      <c r="Z2668" s="52"/>
      <c r="AA2668" s="52"/>
      <c r="AB2668" s="52"/>
      <c r="AC2668" s="52"/>
      <c r="AD2668" s="52"/>
      <c r="AE2668" s="52"/>
      <c r="AF2668" s="52"/>
      <c r="AG2668" s="52"/>
      <c r="AH2668" s="52"/>
      <c r="AM2668" s="52"/>
      <c r="AN2668" s="52"/>
    </row>
    <row r="2669" spans="16:40" x14ac:dyDescent="0.2">
      <c r="P2669" s="52"/>
      <c r="Q2669" s="52"/>
      <c r="R2669" s="52"/>
      <c r="S2669" s="52"/>
      <c r="T2669" s="52"/>
      <c r="U2669" s="52"/>
      <c r="V2669" s="52"/>
      <c r="W2669" s="52"/>
      <c r="X2669" s="52"/>
      <c r="Y2669" s="52"/>
      <c r="Z2669" s="52"/>
      <c r="AA2669" s="52"/>
      <c r="AB2669" s="52"/>
      <c r="AC2669" s="52"/>
      <c r="AD2669" s="52"/>
      <c r="AE2669" s="52"/>
      <c r="AF2669" s="52"/>
      <c r="AG2669" s="52"/>
      <c r="AH2669" s="52"/>
      <c r="AM2669" s="52"/>
      <c r="AN2669" s="52"/>
    </row>
    <row r="2670" spans="16:40" x14ac:dyDescent="0.2">
      <c r="P2670" s="52"/>
      <c r="Q2670" s="52"/>
      <c r="R2670" s="52"/>
      <c r="S2670" s="52"/>
      <c r="T2670" s="52"/>
      <c r="U2670" s="52"/>
      <c r="V2670" s="52"/>
      <c r="W2670" s="52"/>
      <c r="X2670" s="52"/>
      <c r="Y2670" s="52"/>
      <c r="Z2670" s="52"/>
      <c r="AA2670" s="52"/>
      <c r="AB2670" s="52"/>
      <c r="AC2670" s="52"/>
      <c r="AD2670" s="52"/>
      <c r="AE2670" s="52"/>
      <c r="AF2670" s="52"/>
      <c r="AG2670" s="52"/>
      <c r="AH2670" s="52"/>
      <c r="AM2670" s="52"/>
      <c r="AN2670" s="52"/>
    </row>
    <row r="2671" spans="16:40" x14ac:dyDescent="0.2">
      <c r="P2671" s="52"/>
      <c r="Q2671" s="52"/>
      <c r="R2671" s="52"/>
      <c r="S2671" s="52"/>
      <c r="T2671" s="52"/>
      <c r="U2671" s="52"/>
      <c r="V2671" s="52"/>
      <c r="W2671" s="52"/>
      <c r="X2671" s="52"/>
      <c r="Y2671" s="52"/>
      <c r="Z2671" s="52"/>
      <c r="AA2671" s="52"/>
      <c r="AB2671" s="52"/>
      <c r="AC2671" s="52"/>
      <c r="AD2671" s="52"/>
      <c r="AE2671" s="52"/>
      <c r="AF2671" s="52"/>
      <c r="AG2671" s="52"/>
      <c r="AH2671" s="52"/>
      <c r="AM2671" s="52"/>
      <c r="AN2671" s="52"/>
    </row>
    <row r="2672" spans="16:40" x14ac:dyDescent="0.2">
      <c r="P2672" s="52"/>
      <c r="Q2672" s="52"/>
      <c r="R2672" s="52"/>
      <c r="S2672" s="52"/>
      <c r="T2672" s="52"/>
      <c r="U2672" s="52"/>
      <c r="V2672" s="52"/>
      <c r="W2672" s="52"/>
      <c r="X2672" s="52"/>
      <c r="Y2672" s="52"/>
      <c r="Z2672" s="52"/>
      <c r="AA2672" s="52"/>
      <c r="AB2672" s="52"/>
      <c r="AC2672" s="52"/>
      <c r="AD2672" s="52"/>
      <c r="AE2672" s="52"/>
      <c r="AF2672" s="52"/>
      <c r="AG2672" s="52"/>
      <c r="AH2672" s="52"/>
      <c r="AM2672" s="52"/>
      <c r="AN2672" s="52"/>
    </row>
    <row r="2673" spans="16:40" x14ac:dyDescent="0.2">
      <c r="P2673" s="52"/>
      <c r="Q2673" s="52"/>
      <c r="R2673" s="52"/>
      <c r="S2673" s="52"/>
      <c r="T2673" s="52"/>
      <c r="U2673" s="52"/>
      <c r="V2673" s="52"/>
      <c r="W2673" s="52"/>
      <c r="X2673" s="52"/>
      <c r="Y2673" s="52"/>
      <c r="Z2673" s="52"/>
      <c r="AA2673" s="52"/>
      <c r="AB2673" s="52"/>
      <c r="AC2673" s="52"/>
      <c r="AD2673" s="52"/>
      <c r="AE2673" s="52"/>
      <c r="AF2673" s="52"/>
      <c r="AG2673" s="52"/>
      <c r="AH2673" s="52"/>
      <c r="AM2673" s="52"/>
      <c r="AN2673" s="52"/>
    </row>
    <row r="2674" spans="16:40" x14ac:dyDescent="0.2">
      <c r="P2674" s="52"/>
      <c r="Q2674" s="52"/>
      <c r="R2674" s="52"/>
      <c r="S2674" s="52"/>
      <c r="T2674" s="52"/>
      <c r="U2674" s="52"/>
      <c r="V2674" s="52"/>
      <c r="W2674" s="52"/>
      <c r="X2674" s="52"/>
      <c r="Y2674" s="52"/>
      <c r="Z2674" s="52"/>
      <c r="AA2674" s="52"/>
      <c r="AB2674" s="52"/>
      <c r="AC2674" s="52"/>
      <c r="AD2674" s="52"/>
      <c r="AE2674" s="52"/>
      <c r="AF2674" s="52"/>
      <c r="AG2674" s="52"/>
      <c r="AH2674" s="52"/>
      <c r="AM2674" s="52"/>
      <c r="AN2674" s="52"/>
    </row>
    <row r="2675" spans="16:40" x14ac:dyDescent="0.2">
      <c r="P2675" s="52"/>
      <c r="Q2675" s="52"/>
      <c r="R2675" s="52"/>
      <c r="S2675" s="52"/>
      <c r="T2675" s="52"/>
      <c r="U2675" s="52"/>
      <c r="V2675" s="52"/>
      <c r="W2675" s="52"/>
      <c r="X2675" s="52"/>
      <c r="Y2675" s="52"/>
      <c r="Z2675" s="52"/>
      <c r="AA2675" s="52"/>
      <c r="AB2675" s="52"/>
      <c r="AC2675" s="52"/>
      <c r="AD2675" s="52"/>
      <c r="AE2675" s="52"/>
      <c r="AF2675" s="52"/>
      <c r="AG2675" s="52"/>
      <c r="AH2675" s="52"/>
      <c r="AM2675" s="52"/>
      <c r="AN2675" s="52"/>
    </row>
    <row r="2676" spans="16:40" x14ac:dyDescent="0.2">
      <c r="P2676" s="52"/>
      <c r="Q2676" s="52"/>
      <c r="R2676" s="52"/>
      <c r="S2676" s="52"/>
      <c r="T2676" s="52"/>
      <c r="U2676" s="52"/>
      <c r="V2676" s="52"/>
      <c r="W2676" s="52"/>
      <c r="X2676" s="52"/>
      <c r="Y2676" s="52"/>
      <c r="Z2676" s="52"/>
      <c r="AA2676" s="52"/>
      <c r="AB2676" s="52"/>
      <c r="AC2676" s="52"/>
      <c r="AD2676" s="52"/>
      <c r="AE2676" s="52"/>
      <c r="AF2676" s="52"/>
      <c r="AG2676" s="52"/>
      <c r="AH2676" s="52"/>
      <c r="AM2676" s="52"/>
      <c r="AN2676" s="52"/>
    </row>
    <row r="2677" spans="16:40" x14ac:dyDescent="0.2">
      <c r="P2677" s="52"/>
      <c r="Q2677" s="52"/>
      <c r="R2677" s="52"/>
      <c r="S2677" s="52"/>
      <c r="T2677" s="52"/>
      <c r="U2677" s="52"/>
      <c r="V2677" s="52"/>
      <c r="W2677" s="52"/>
      <c r="X2677" s="52"/>
      <c r="Y2677" s="52"/>
      <c r="Z2677" s="52"/>
      <c r="AA2677" s="52"/>
      <c r="AB2677" s="52"/>
      <c r="AC2677" s="52"/>
      <c r="AD2677" s="52"/>
      <c r="AE2677" s="52"/>
      <c r="AF2677" s="52"/>
      <c r="AG2677" s="52"/>
      <c r="AH2677" s="52"/>
      <c r="AM2677" s="52"/>
      <c r="AN2677" s="52"/>
    </row>
    <row r="2678" spans="16:40" x14ac:dyDescent="0.2">
      <c r="P2678" s="52"/>
      <c r="Q2678" s="52"/>
      <c r="R2678" s="52"/>
      <c r="S2678" s="52"/>
      <c r="T2678" s="52"/>
      <c r="U2678" s="52"/>
      <c r="V2678" s="52"/>
      <c r="W2678" s="52"/>
      <c r="X2678" s="52"/>
      <c r="Y2678" s="52"/>
      <c r="Z2678" s="52"/>
      <c r="AA2678" s="52"/>
      <c r="AB2678" s="52"/>
      <c r="AC2678" s="52"/>
      <c r="AD2678" s="52"/>
      <c r="AE2678" s="52"/>
      <c r="AF2678" s="52"/>
      <c r="AG2678" s="52"/>
      <c r="AH2678" s="52"/>
      <c r="AM2678" s="52"/>
      <c r="AN2678" s="52"/>
    </row>
    <row r="2679" spans="16:40" x14ac:dyDescent="0.2">
      <c r="P2679" s="52"/>
      <c r="Q2679" s="52"/>
      <c r="R2679" s="52"/>
      <c r="S2679" s="52"/>
      <c r="T2679" s="52"/>
      <c r="U2679" s="52"/>
      <c r="V2679" s="52"/>
      <c r="W2679" s="52"/>
      <c r="X2679" s="52"/>
      <c r="Y2679" s="52"/>
      <c r="Z2679" s="52"/>
      <c r="AA2679" s="52"/>
      <c r="AB2679" s="52"/>
      <c r="AC2679" s="52"/>
      <c r="AD2679" s="52"/>
      <c r="AE2679" s="52"/>
      <c r="AF2679" s="52"/>
      <c r="AG2679" s="52"/>
      <c r="AH2679" s="52"/>
      <c r="AM2679" s="52"/>
      <c r="AN2679" s="52"/>
    </row>
    <row r="2680" spans="16:40" x14ac:dyDescent="0.2">
      <c r="P2680" s="52"/>
      <c r="Q2680" s="52"/>
      <c r="R2680" s="52"/>
      <c r="S2680" s="52"/>
      <c r="T2680" s="52"/>
      <c r="U2680" s="52"/>
      <c r="V2680" s="52"/>
      <c r="W2680" s="52"/>
      <c r="X2680" s="52"/>
      <c r="Y2680" s="52"/>
      <c r="Z2680" s="52"/>
      <c r="AA2680" s="52"/>
      <c r="AB2680" s="52"/>
      <c r="AC2680" s="52"/>
      <c r="AD2680" s="52"/>
      <c r="AE2680" s="52"/>
      <c r="AF2680" s="52"/>
      <c r="AG2680" s="52"/>
      <c r="AH2680" s="52"/>
      <c r="AM2680" s="52"/>
      <c r="AN2680" s="52"/>
    </row>
    <row r="2681" spans="16:40" x14ac:dyDescent="0.2">
      <c r="P2681" s="52"/>
      <c r="Q2681" s="52"/>
      <c r="R2681" s="52"/>
      <c r="S2681" s="52"/>
      <c r="T2681" s="52"/>
      <c r="U2681" s="52"/>
      <c r="V2681" s="52"/>
      <c r="W2681" s="52"/>
      <c r="X2681" s="52"/>
      <c r="Y2681" s="52"/>
      <c r="Z2681" s="52"/>
      <c r="AA2681" s="52"/>
      <c r="AB2681" s="52"/>
      <c r="AC2681" s="52"/>
      <c r="AD2681" s="52"/>
      <c r="AE2681" s="52"/>
      <c r="AF2681" s="52"/>
      <c r="AG2681" s="52"/>
      <c r="AH2681" s="52"/>
      <c r="AM2681" s="52"/>
      <c r="AN2681" s="52"/>
    </row>
    <row r="2682" spans="16:40" x14ac:dyDescent="0.2"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2"/>
      <c r="AA2682" s="52"/>
      <c r="AB2682" s="52"/>
      <c r="AC2682" s="52"/>
      <c r="AD2682" s="52"/>
      <c r="AE2682" s="52"/>
      <c r="AF2682" s="52"/>
      <c r="AG2682" s="52"/>
      <c r="AH2682" s="52"/>
      <c r="AM2682" s="52"/>
      <c r="AN2682" s="52"/>
    </row>
    <row r="2683" spans="16:40" x14ac:dyDescent="0.2">
      <c r="P2683" s="52"/>
      <c r="Q2683" s="52"/>
      <c r="R2683" s="52"/>
      <c r="S2683" s="52"/>
      <c r="T2683" s="52"/>
      <c r="U2683" s="52"/>
      <c r="V2683" s="52"/>
      <c r="W2683" s="52"/>
      <c r="X2683" s="52"/>
      <c r="Y2683" s="52"/>
      <c r="Z2683" s="52"/>
      <c r="AA2683" s="52"/>
      <c r="AB2683" s="52"/>
      <c r="AC2683" s="52"/>
      <c r="AD2683" s="52"/>
      <c r="AE2683" s="52"/>
      <c r="AF2683" s="52"/>
      <c r="AG2683" s="52"/>
      <c r="AH2683" s="52"/>
      <c r="AM2683" s="52"/>
      <c r="AN2683" s="52"/>
    </row>
    <row r="2684" spans="16:40" x14ac:dyDescent="0.2">
      <c r="P2684" s="52"/>
      <c r="Q2684" s="52"/>
      <c r="R2684" s="52"/>
      <c r="S2684" s="52"/>
      <c r="T2684" s="52"/>
      <c r="U2684" s="52"/>
      <c r="V2684" s="52"/>
      <c r="W2684" s="52"/>
      <c r="X2684" s="52"/>
      <c r="Y2684" s="52"/>
      <c r="Z2684" s="52"/>
      <c r="AA2684" s="52"/>
      <c r="AB2684" s="52"/>
      <c r="AC2684" s="52"/>
      <c r="AD2684" s="52"/>
      <c r="AE2684" s="52"/>
      <c r="AF2684" s="52"/>
      <c r="AG2684" s="52"/>
      <c r="AH2684" s="52"/>
      <c r="AM2684" s="52"/>
      <c r="AN2684" s="52"/>
    </row>
    <row r="2685" spans="16:40" x14ac:dyDescent="0.2">
      <c r="P2685" s="52"/>
      <c r="Q2685" s="52"/>
      <c r="R2685" s="52"/>
      <c r="S2685" s="52"/>
      <c r="T2685" s="52"/>
      <c r="U2685" s="52"/>
      <c r="V2685" s="52"/>
      <c r="W2685" s="52"/>
      <c r="X2685" s="52"/>
      <c r="Y2685" s="52"/>
      <c r="Z2685" s="52"/>
      <c r="AA2685" s="52"/>
      <c r="AB2685" s="52"/>
      <c r="AC2685" s="52"/>
      <c r="AD2685" s="52"/>
      <c r="AE2685" s="52"/>
      <c r="AF2685" s="52"/>
      <c r="AG2685" s="52"/>
      <c r="AH2685" s="52"/>
      <c r="AM2685" s="52"/>
      <c r="AN2685" s="52"/>
    </row>
    <row r="2686" spans="16:40" x14ac:dyDescent="0.2">
      <c r="P2686" s="52"/>
      <c r="Q2686" s="52"/>
      <c r="R2686" s="52"/>
      <c r="S2686" s="52"/>
      <c r="T2686" s="52"/>
      <c r="U2686" s="52"/>
      <c r="V2686" s="52"/>
      <c r="W2686" s="52"/>
      <c r="X2686" s="52"/>
      <c r="Y2686" s="52"/>
      <c r="Z2686" s="52"/>
      <c r="AA2686" s="52"/>
      <c r="AB2686" s="52"/>
      <c r="AC2686" s="52"/>
      <c r="AD2686" s="52"/>
      <c r="AE2686" s="52"/>
      <c r="AF2686" s="52"/>
      <c r="AG2686" s="52"/>
      <c r="AH2686" s="52"/>
      <c r="AM2686" s="52"/>
      <c r="AN2686" s="52"/>
    </row>
    <row r="2687" spans="16:40" x14ac:dyDescent="0.2">
      <c r="P2687" s="52"/>
      <c r="Q2687" s="52"/>
      <c r="R2687" s="52"/>
      <c r="S2687" s="52"/>
      <c r="T2687" s="52"/>
      <c r="U2687" s="52"/>
      <c r="V2687" s="52"/>
      <c r="W2687" s="52"/>
      <c r="X2687" s="52"/>
      <c r="Y2687" s="52"/>
      <c r="Z2687" s="52"/>
      <c r="AA2687" s="52"/>
      <c r="AB2687" s="52"/>
      <c r="AC2687" s="52"/>
      <c r="AD2687" s="52"/>
      <c r="AE2687" s="52"/>
      <c r="AF2687" s="52"/>
      <c r="AG2687" s="52"/>
      <c r="AH2687" s="52"/>
      <c r="AM2687" s="52"/>
      <c r="AN2687" s="52"/>
    </row>
    <row r="2688" spans="16:40" x14ac:dyDescent="0.2">
      <c r="P2688" s="52"/>
      <c r="Q2688" s="52"/>
      <c r="R2688" s="52"/>
      <c r="S2688" s="52"/>
      <c r="T2688" s="52"/>
      <c r="U2688" s="52"/>
      <c r="V2688" s="52"/>
      <c r="W2688" s="52"/>
      <c r="X2688" s="52"/>
      <c r="Y2688" s="52"/>
      <c r="Z2688" s="52"/>
      <c r="AA2688" s="52"/>
      <c r="AB2688" s="52"/>
      <c r="AC2688" s="52"/>
      <c r="AD2688" s="52"/>
      <c r="AE2688" s="52"/>
      <c r="AF2688" s="52"/>
      <c r="AG2688" s="52"/>
      <c r="AH2688" s="52"/>
      <c r="AM2688" s="52"/>
      <c r="AN2688" s="52"/>
    </row>
    <row r="2689" spans="16:40" x14ac:dyDescent="0.2">
      <c r="P2689" s="52"/>
      <c r="Q2689" s="52"/>
      <c r="R2689" s="52"/>
      <c r="S2689" s="52"/>
      <c r="T2689" s="52"/>
      <c r="U2689" s="52"/>
      <c r="V2689" s="52"/>
      <c r="W2689" s="52"/>
      <c r="X2689" s="52"/>
      <c r="Y2689" s="52"/>
      <c r="Z2689" s="52"/>
      <c r="AA2689" s="52"/>
      <c r="AB2689" s="52"/>
      <c r="AC2689" s="52"/>
      <c r="AD2689" s="52"/>
      <c r="AE2689" s="52"/>
      <c r="AF2689" s="52"/>
      <c r="AG2689" s="52"/>
      <c r="AH2689" s="52"/>
      <c r="AM2689" s="52"/>
      <c r="AN2689" s="52"/>
    </row>
    <row r="2690" spans="16:40" x14ac:dyDescent="0.2">
      <c r="P2690" s="52"/>
      <c r="Q2690" s="52"/>
      <c r="R2690" s="52"/>
      <c r="S2690" s="52"/>
      <c r="T2690" s="52"/>
      <c r="U2690" s="52"/>
      <c r="V2690" s="52"/>
      <c r="W2690" s="52"/>
      <c r="X2690" s="52"/>
      <c r="Y2690" s="52"/>
      <c r="Z2690" s="52"/>
      <c r="AA2690" s="52"/>
      <c r="AB2690" s="52"/>
      <c r="AC2690" s="52"/>
      <c r="AD2690" s="52"/>
      <c r="AE2690" s="52"/>
      <c r="AF2690" s="52"/>
      <c r="AG2690" s="52"/>
      <c r="AH2690" s="52"/>
      <c r="AM2690" s="52"/>
      <c r="AN2690" s="52"/>
    </row>
    <row r="2691" spans="16:40" x14ac:dyDescent="0.2">
      <c r="P2691" s="52"/>
      <c r="Q2691" s="52"/>
      <c r="R2691" s="52"/>
      <c r="S2691" s="52"/>
      <c r="T2691" s="52"/>
      <c r="U2691" s="52"/>
      <c r="V2691" s="52"/>
      <c r="W2691" s="52"/>
      <c r="X2691" s="52"/>
      <c r="Y2691" s="52"/>
      <c r="Z2691" s="52"/>
      <c r="AA2691" s="52"/>
      <c r="AB2691" s="52"/>
      <c r="AC2691" s="52"/>
      <c r="AD2691" s="52"/>
      <c r="AE2691" s="52"/>
      <c r="AF2691" s="52"/>
      <c r="AG2691" s="52"/>
      <c r="AH2691" s="52"/>
      <c r="AM2691" s="52"/>
      <c r="AN2691" s="52"/>
    </row>
    <row r="2692" spans="16:40" x14ac:dyDescent="0.2">
      <c r="P2692" s="52"/>
      <c r="Q2692" s="52"/>
      <c r="R2692" s="52"/>
      <c r="S2692" s="52"/>
      <c r="T2692" s="52"/>
      <c r="U2692" s="52"/>
      <c r="V2692" s="52"/>
      <c r="W2692" s="52"/>
      <c r="X2692" s="52"/>
      <c r="Y2692" s="52"/>
      <c r="Z2692" s="52"/>
      <c r="AA2692" s="52"/>
      <c r="AB2692" s="52"/>
      <c r="AC2692" s="52"/>
      <c r="AD2692" s="52"/>
      <c r="AE2692" s="52"/>
      <c r="AF2692" s="52"/>
      <c r="AG2692" s="52"/>
      <c r="AH2692" s="52"/>
      <c r="AM2692" s="52"/>
      <c r="AN2692" s="52"/>
    </row>
    <row r="2693" spans="16:40" x14ac:dyDescent="0.2">
      <c r="P2693" s="52"/>
      <c r="Q2693" s="52"/>
      <c r="R2693" s="52"/>
      <c r="S2693" s="52"/>
      <c r="T2693" s="52"/>
      <c r="U2693" s="52"/>
      <c r="V2693" s="52"/>
      <c r="W2693" s="52"/>
      <c r="X2693" s="52"/>
      <c r="Y2693" s="52"/>
      <c r="Z2693" s="52"/>
      <c r="AA2693" s="52"/>
      <c r="AB2693" s="52"/>
      <c r="AC2693" s="52"/>
      <c r="AD2693" s="52"/>
      <c r="AE2693" s="52"/>
      <c r="AF2693" s="52"/>
      <c r="AG2693" s="52"/>
      <c r="AH2693" s="52"/>
      <c r="AM2693" s="52"/>
      <c r="AN2693" s="52"/>
    </row>
    <row r="2694" spans="16:40" x14ac:dyDescent="0.2">
      <c r="P2694" s="52"/>
      <c r="Q2694" s="52"/>
      <c r="R2694" s="52"/>
      <c r="S2694" s="52"/>
      <c r="T2694" s="52"/>
      <c r="U2694" s="52"/>
      <c r="V2694" s="52"/>
      <c r="W2694" s="52"/>
      <c r="X2694" s="52"/>
      <c r="Y2694" s="52"/>
      <c r="Z2694" s="52"/>
      <c r="AA2694" s="52"/>
      <c r="AB2694" s="52"/>
      <c r="AC2694" s="52"/>
      <c r="AD2694" s="52"/>
      <c r="AE2694" s="52"/>
      <c r="AF2694" s="52"/>
      <c r="AG2694" s="52"/>
      <c r="AH2694" s="52"/>
      <c r="AM2694" s="52"/>
      <c r="AN2694" s="52"/>
    </row>
    <row r="2695" spans="16:40" x14ac:dyDescent="0.2">
      <c r="P2695" s="52"/>
      <c r="Q2695" s="52"/>
      <c r="R2695" s="52"/>
      <c r="S2695" s="52"/>
      <c r="T2695" s="52"/>
      <c r="U2695" s="52"/>
      <c r="V2695" s="52"/>
      <c r="W2695" s="52"/>
      <c r="X2695" s="52"/>
      <c r="Y2695" s="52"/>
      <c r="Z2695" s="52"/>
      <c r="AA2695" s="52"/>
      <c r="AB2695" s="52"/>
      <c r="AC2695" s="52"/>
      <c r="AD2695" s="52"/>
      <c r="AE2695" s="52"/>
      <c r="AF2695" s="52"/>
      <c r="AG2695" s="52"/>
      <c r="AH2695" s="52"/>
      <c r="AM2695" s="52"/>
      <c r="AN2695" s="52"/>
    </row>
    <row r="2696" spans="16:40" x14ac:dyDescent="0.2">
      <c r="P2696" s="52"/>
      <c r="Q2696" s="52"/>
      <c r="R2696" s="52"/>
      <c r="S2696" s="52"/>
      <c r="T2696" s="52"/>
      <c r="U2696" s="52"/>
      <c r="V2696" s="52"/>
      <c r="W2696" s="52"/>
      <c r="X2696" s="52"/>
      <c r="Y2696" s="52"/>
      <c r="Z2696" s="52"/>
      <c r="AA2696" s="52"/>
      <c r="AB2696" s="52"/>
      <c r="AC2696" s="52"/>
      <c r="AD2696" s="52"/>
      <c r="AE2696" s="52"/>
      <c r="AF2696" s="52"/>
      <c r="AG2696" s="52"/>
      <c r="AH2696" s="52"/>
      <c r="AM2696" s="52"/>
      <c r="AN2696" s="52"/>
    </row>
    <row r="2697" spans="16:40" x14ac:dyDescent="0.2">
      <c r="P2697" s="52"/>
      <c r="Q2697" s="52"/>
      <c r="R2697" s="52"/>
      <c r="S2697" s="52"/>
      <c r="T2697" s="52"/>
      <c r="U2697" s="52"/>
      <c r="V2697" s="52"/>
      <c r="W2697" s="52"/>
      <c r="X2697" s="52"/>
      <c r="Y2697" s="52"/>
      <c r="Z2697" s="52"/>
      <c r="AA2697" s="52"/>
      <c r="AB2697" s="52"/>
      <c r="AC2697" s="52"/>
      <c r="AD2697" s="52"/>
      <c r="AE2697" s="52"/>
      <c r="AF2697" s="52"/>
      <c r="AG2697" s="52"/>
      <c r="AH2697" s="52"/>
      <c r="AM2697" s="52"/>
      <c r="AN2697" s="52"/>
    </row>
    <row r="2698" spans="16:40" x14ac:dyDescent="0.2">
      <c r="P2698" s="52"/>
      <c r="Q2698" s="52"/>
      <c r="R2698" s="52"/>
      <c r="S2698" s="52"/>
      <c r="T2698" s="52"/>
      <c r="U2698" s="52"/>
      <c r="V2698" s="52"/>
      <c r="W2698" s="52"/>
      <c r="X2698" s="52"/>
      <c r="Y2698" s="52"/>
      <c r="Z2698" s="52"/>
      <c r="AA2698" s="52"/>
      <c r="AB2698" s="52"/>
      <c r="AC2698" s="52"/>
      <c r="AD2698" s="52"/>
      <c r="AE2698" s="52"/>
      <c r="AF2698" s="52"/>
      <c r="AG2698" s="52"/>
      <c r="AH2698" s="52"/>
      <c r="AM2698" s="52"/>
      <c r="AN2698" s="52"/>
    </row>
    <row r="2699" spans="16:40" x14ac:dyDescent="0.2">
      <c r="P2699" s="52"/>
      <c r="Q2699" s="52"/>
      <c r="R2699" s="52"/>
      <c r="S2699" s="52"/>
      <c r="T2699" s="52"/>
      <c r="U2699" s="52"/>
      <c r="V2699" s="52"/>
      <c r="W2699" s="52"/>
      <c r="X2699" s="52"/>
      <c r="Y2699" s="52"/>
      <c r="Z2699" s="52"/>
      <c r="AA2699" s="52"/>
      <c r="AB2699" s="52"/>
      <c r="AC2699" s="52"/>
      <c r="AD2699" s="52"/>
      <c r="AE2699" s="52"/>
      <c r="AF2699" s="52"/>
      <c r="AG2699" s="52"/>
      <c r="AH2699" s="52"/>
      <c r="AM2699" s="52"/>
      <c r="AN2699" s="52"/>
    </row>
    <row r="2700" spans="16:40" x14ac:dyDescent="0.2">
      <c r="P2700" s="52"/>
      <c r="Q2700" s="52"/>
      <c r="R2700" s="52"/>
      <c r="S2700" s="52"/>
      <c r="T2700" s="52"/>
      <c r="U2700" s="52"/>
      <c r="V2700" s="52"/>
      <c r="W2700" s="52"/>
      <c r="X2700" s="52"/>
      <c r="Y2700" s="52"/>
      <c r="Z2700" s="52"/>
      <c r="AA2700" s="52"/>
      <c r="AB2700" s="52"/>
      <c r="AC2700" s="52"/>
      <c r="AD2700" s="52"/>
      <c r="AE2700" s="52"/>
      <c r="AF2700" s="52"/>
      <c r="AG2700" s="52"/>
      <c r="AH2700" s="52"/>
      <c r="AM2700" s="52"/>
      <c r="AN2700" s="52"/>
    </row>
    <row r="2701" spans="16:40" x14ac:dyDescent="0.2">
      <c r="P2701" s="52"/>
      <c r="Q2701" s="52"/>
      <c r="R2701" s="52"/>
      <c r="S2701" s="52"/>
      <c r="T2701" s="52"/>
      <c r="U2701" s="52"/>
      <c r="V2701" s="52"/>
      <c r="W2701" s="52"/>
      <c r="X2701" s="52"/>
      <c r="Y2701" s="52"/>
      <c r="Z2701" s="52"/>
      <c r="AA2701" s="52"/>
      <c r="AB2701" s="52"/>
      <c r="AC2701" s="52"/>
      <c r="AD2701" s="52"/>
      <c r="AE2701" s="52"/>
      <c r="AF2701" s="52"/>
      <c r="AG2701" s="52"/>
      <c r="AH2701" s="52"/>
      <c r="AM2701" s="52"/>
      <c r="AN2701" s="52"/>
    </row>
    <row r="2702" spans="16:40" x14ac:dyDescent="0.2">
      <c r="P2702" s="52"/>
      <c r="Q2702" s="52"/>
      <c r="R2702" s="52"/>
      <c r="S2702" s="52"/>
      <c r="T2702" s="52"/>
      <c r="U2702" s="52"/>
      <c r="V2702" s="52"/>
      <c r="W2702" s="52"/>
      <c r="X2702" s="52"/>
      <c r="Y2702" s="52"/>
      <c r="Z2702" s="52"/>
      <c r="AA2702" s="52"/>
      <c r="AB2702" s="52"/>
      <c r="AC2702" s="52"/>
      <c r="AD2702" s="52"/>
      <c r="AE2702" s="52"/>
      <c r="AF2702" s="52"/>
      <c r="AG2702" s="52"/>
      <c r="AH2702" s="52"/>
      <c r="AM2702" s="52"/>
      <c r="AN2702" s="52"/>
    </row>
    <row r="2703" spans="16:40" x14ac:dyDescent="0.2">
      <c r="P2703" s="52"/>
      <c r="Q2703" s="52"/>
      <c r="R2703" s="52"/>
      <c r="S2703" s="52"/>
      <c r="T2703" s="52"/>
      <c r="U2703" s="52"/>
      <c r="V2703" s="52"/>
      <c r="W2703" s="52"/>
      <c r="X2703" s="52"/>
      <c r="Y2703" s="52"/>
      <c r="Z2703" s="52"/>
      <c r="AA2703" s="52"/>
      <c r="AB2703" s="52"/>
      <c r="AC2703" s="52"/>
      <c r="AD2703" s="52"/>
      <c r="AE2703" s="52"/>
      <c r="AF2703" s="52"/>
      <c r="AG2703" s="52"/>
      <c r="AH2703" s="52"/>
      <c r="AM2703" s="52"/>
      <c r="AN2703" s="52"/>
    </row>
    <row r="2704" spans="16:40" x14ac:dyDescent="0.2">
      <c r="P2704" s="52"/>
      <c r="Q2704" s="52"/>
      <c r="R2704" s="52"/>
      <c r="S2704" s="52"/>
      <c r="T2704" s="52"/>
      <c r="U2704" s="52"/>
      <c r="V2704" s="52"/>
      <c r="W2704" s="52"/>
      <c r="X2704" s="52"/>
      <c r="Y2704" s="52"/>
      <c r="Z2704" s="52"/>
      <c r="AA2704" s="52"/>
      <c r="AB2704" s="52"/>
      <c r="AC2704" s="52"/>
      <c r="AD2704" s="52"/>
      <c r="AE2704" s="52"/>
      <c r="AF2704" s="52"/>
      <c r="AG2704" s="52"/>
      <c r="AH2704" s="52"/>
      <c r="AM2704" s="52"/>
      <c r="AN2704" s="52"/>
    </row>
    <row r="2705" spans="16:40" x14ac:dyDescent="0.2">
      <c r="P2705" s="52"/>
      <c r="Q2705" s="52"/>
      <c r="R2705" s="52"/>
      <c r="S2705" s="52"/>
      <c r="T2705" s="52"/>
      <c r="U2705" s="52"/>
      <c r="V2705" s="52"/>
      <c r="W2705" s="52"/>
      <c r="X2705" s="52"/>
      <c r="Y2705" s="52"/>
      <c r="Z2705" s="52"/>
      <c r="AA2705" s="52"/>
      <c r="AB2705" s="52"/>
      <c r="AC2705" s="52"/>
      <c r="AD2705" s="52"/>
      <c r="AE2705" s="52"/>
      <c r="AF2705" s="52"/>
      <c r="AG2705" s="52"/>
      <c r="AH2705" s="52"/>
      <c r="AM2705" s="52"/>
      <c r="AN2705" s="52"/>
    </row>
    <row r="2706" spans="16:40" x14ac:dyDescent="0.2">
      <c r="P2706" s="52"/>
      <c r="Q2706" s="52"/>
      <c r="R2706" s="52"/>
      <c r="S2706" s="52"/>
      <c r="T2706" s="52"/>
      <c r="U2706" s="52"/>
      <c r="V2706" s="52"/>
      <c r="W2706" s="52"/>
      <c r="X2706" s="52"/>
      <c r="Y2706" s="52"/>
      <c r="Z2706" s="52"/>
      <c r="AA2706" s="52"/>
      <c r="AB2706" s="52"/>
      <c r="AC2706" s="52"/>
      <c r="AD2706" s="52"/>
      <c r="AE2706" s="52"/>
      <c r="AF2706" s="52"/>
      <c r="AG2706" s="52"/>
      <c r="AH2706" s="52"/>
      <c r="AM2706" s="52"/>
      <c r="AN2706" s="52"/>
    </row>
    <row r="2707" spans="16:40" x14ac:dyDescent="0.2">
      <c r="P2707" s="52"/>
      <c r="Q2707" s="52"/>
      <c r="R2707" s="52"/>
      <c r="S2707" s="52"/>
      <c r="T2707" s="52"/>
      <c r="U2707" s="52"/>
      <c r="V2707" s="52"/>
      <c r="W2707" s="52"/>
      <c r="X2707" s="52"/>
      <c r="Y2707" s="52"/>
      <c r="Z2707" s="52"/>
      <c r="AA2707" s="52"/>
      <c r="AB2707" s="52"/>
      <c r="AC2707" s="52"/>
      <c r="AD2707" s="52"/>
      <c r="AE2707" s="52"/>
      <c r="AF2707" s="52"/>
      <c r="AG2707" s="52"/>
      <c r="AH2707" s="52"/>
      <c r="AM2707" s="52"/>
      <c r="AN2707" s="52"/>
    </row>
    <row r="2708" spans="16:40" x14ac:dyDescent="0.2">
      <c r="P2708" s="52"/>
      <c r="Q2708" s="52"/>
      <c r="R2708" s="52"/>
      <c r="S2708" s="52"/>
      <c r="T2708" s="52"/>
      <c r="U2708" s="52"/>
      <c r="V2708" s="52"/>
      <c r="W2708" s="52"/>
      <c r="X2708" s="52"/>
      <c r="Y2708" s="52"/>
      <c r="Z2708" s="52"/>
      <c r="AA2708" s="52"/>
      <c r="AB2708" s="52"/>
      <c r="AC2708" s="52"/>
      <c r="AD2708" s="52"/>
      <c r="AE2708" s="52"/>
      <c r="AF2708" s="52"/>
      <c r="AG2708" s="52"/>
      <c r="AH2708" s="52"/>
      <c r="AM2708" s="52"/>
      <c r="AN2708" s="52"/>
    </row>
    <row r="2709" spans="16:40" x14ac:dyDescent="0.2">
      <c r="P2709" s="52"/>
      <c r="Q2709" s="52"/>
      <c r="R2709" s="52"/>
      <c r="S2709" s="52"/>
      <c r="T2709" s="52"/>
      <c r="U2709" s="52"/>
      <c r="V2709" s="52"/>
      <c r="W2709" s="52"/>
      <c r="X2709" s="52"/>
      <c r="Y2709" s="52"/>
      <c r="Z2709" s="52"/>
      <c r="AA2709" s="52"/>
      <c r="AB2709" s="52"/>
      <c r="AC2709" s="52"/>
      <c r="AD2709" s="52"/>
      <c r="AE2709" s="52"/>
      <c r="AF2709" s="52"/>
      <c r="AG2709" s="52"/>
      <c r="AH2709" s="52"/>
      <c r="AM2709" s="52"/>
      <c r="AN2709" s="52"/>
    </row>
    <row r="2710" spans="16:40" x14ac:dyDescent="0.2">
      <c r="P2710" s="52"/>
      <c r="Q2710" s="52"/>
      <c r="R2710" s="52"/>
      <c r="S2710" s="52"/>
      <c r="T2710" s="52"/>
      <c r="U2710" s="52"/>
      <c r="V2710" s="52"/>
      <c r="W2710" s="52"/>
      <c r="X2710" s="52"/>
      <c r="Y2710" s="52"/>
      <c r="Z2710" s="52"/>
      <c r="AA2710" s="52"/>
      <c r="AB2710" s="52"/>
      <c r="AC2710" s="52"/>
      <c r="AD2710" s="52"/>
      <c r="AE2710" s="52"/>
      <c r="AF2710" s="52"/>
      <c r="AG2710" s="52"/>
      <c r="AH2710" s="52"/>
      <c r="AM2710" s="52"/>
      <c r="AN2710" s="52"/>
    </row>
    <row r="2711" spans="16:40" x14ac:dyDescent="0.2">
      <c r="P2711" s="52"/>
      <c r="Q2711" s="52"/>
      <c r="R2711" s="52"/>
      <c r="S2711" s="52"/>
      <c r="T2711" s="52"/>
      <c r="U2711" s="52"/>
      <c r="V2711" s="52"/>
      <c r="W2711" s="52"/>
      <c r="X2711" s="52"/>
      <c r="Y2711" s="52"/>
      <c r="Z2711" s="52"/>
      <c r="AA2711" s="52"/>
      <c r="AB2711" s="52"/>
      <c r="AC2711" s="52"/>
      <c r="AD2711" s="52"/>
      <c r="AE2711" s="52"/>
      <c r="AF2711" s="52"/>
      <c r="AG2711" s="52"/>
      <c r="AH2711" s="52"/>
      <c r="AM2711" s="52"/>
      <c r="AN2711" s="52"/>
    </row>
    <row r="2712" spans="16:40" x14ac:dyDescent="0.2">
      <c r="P2712" s="52"/>
      <c r="Q2712" s="52"/>
      <c r="R2712" s="52"/>
      <c r="S2712" s="52"/>
      <c r="T2712" s="52"/>
      <c r="U2712" s="52"/>
      <c r="V2712" s="52"/>
      <c r="W2712" s="52"/>
      <c r="X2712" s="52"/>
      <c r="Y2712" s="52"/>
      <c r="Z2712" s="52"/>
      <c r="AA2712" s="52"/>
      <c r="AB2712" s="52"/>
      <c r="AC2712" s="52"/>
      <c r="AD2712" s="52"/>
      <c r="AE2712" s="52"/>
      <c r="AF2712" s="52"/>
      <c r="AG2712" s="52"/>
      <c r="AH2712" s="52"/>
      <c r="AM2712" s="52"/>
      <c r="AN2712" s="52"/>
    </row>
    <row r="2713" spans="16:40" x14ac:dyDescent="0.2">
      <c r="P2713" s="52"/>
      <c r="Q2713" s="52"/>
      <c r="R2713" s="52"/>
      <c r="S2713" s="52"/>
      <c r="T2713" s="52"/>
      <c r="U2713" s="52"/>
      <c r="V2713" s="52"/>
      <c r="W2713" s="52"/>
      <c r="X2713" s="52"/>
      <c r="Y2713" s="52"/>
      <c r="Z2713" s="52"/>
      <c r="AA2713" s="52"/>
      <c r="AB2713" s="52"/>
      <c r="AC2713" s="52"/>
      <c r="AD2713" s="52"/>
      <c r="AE2713" s="52"/>
      <c r="AF2713" s="52"/>
      <c r="AG2713" s="52"/>
      <c r="AH2713" s="52"/>
      <c r="AM2713" s="52"/>
      <c r="AN2713" s="52"/>
    </row>
    <row r="2714" spans="16:40" x14ac:dyDescent="0.2">
      <c r="P2714" s="52"/>
      <c r="Q2714" s="52"/>
      <c r="R2714" s="52"/>
      <c r="S2714" s="52"/>
      <c r="T2714" s="52"/>
      <c r="U2714" s="52"/>
      <c r="V2714" s="52"/>
      <c r="W2714" s="52"/>
      <c r="X2714" s="52"/>
      <c r="Y2714" s="52"/>
      <c r="Z2714" s="52"/>
      <c r="AA2714" s="52"/>
      <c r="AB2714" s="52"/>
      <c r="AC2714" s="52"/>
      <c r="AD2714" s="52"/>
      <c r="AE2714" s="52"/>
      <c r="AF2714" s="52"/>
      <c r="AG2714" s="52"/>
      <c r="AH2714" s="52"/>
      <c r="AM2714" s="52"/>
      <c r="AN2714" s="52"/>
    </row>
    <row r="2715" spans="16:40" x14ac:dyDescent="0.2">
      <c r="P2715" s="52"/>
      <c r="Q2715" s="52"/>
      <c r="R2715" s="52"/>
      <c r="S2715" s="52"/>
      <c r="T2715" s="52"/>
      <c r="U2715" s="52"/>
      <c r="V2715" s="52"/>
      <c r="W2715" s="52"/>
      <c r="X2715" s="52"/>
      <c r="Y2715" s="52"/>
      <c r="Z2715" s="52"/>
      <c r="AA2715" s="52"/>
      <c r="AB2715" s="52"/>
      <c r="AC2715" s="52"/>
      <c r="AD2715" s="52"/>
      <c r="AE2715" s="52"/>
      <c r="AF2715" s="52"/>
      <c r="AG2715" s="52"/>
      <c r="AH2715" s="52"/>
      <c r="AM2715" s="52"/>
      <c r="AN2715" s="52"/>
    </row>
    <row r="2716" spans="16:40" x14ac:dyDescent="0.2">
      <c r="P2716" s="52"/>
      <c r="Q2716" s="52"/>
      <c r="R2716" s="52"/>
      <c r="S2716" s="52"/>
      <c r="T2716" s="52"/>
      <c r="U2716" s="52"/>
      <c r="V2716" s="52"/>
      <c r="W2716" s="52"/>
      <c r="X2716" s="52"/>
      <c r="Y2716" s="52"/>
      <c r="Z2716" s="52"/>
      <c r="AA2716" s="52"/>
      <c r="AB2716" s="52"/>
      <c r="AC2716" s="52"/>
      <c r="AD2716" s="52"/>
      <c r="AE2716" s="52"/>
      <c r="AF2716" s="52"/>
      <c r="AG2716" s="52"/>
      <c r="AH2716" s="52"/>
      <c r="AM2716" s="52"/>
      <c r="AN2716" s="52"/>
    </row>
    <row r="2717" spans="16:40" x14ac:dyDescent="0.2">
      <c r="P2717" s="52"/>
      <c r="Q2717" s="52"/>
      <c r="R2717" s="52"/>
      <c r="S2717" s="52"/>
      <c r="T2717" s="52"/>
      <c r="U2717" s="52"/>
      <c r="V2717" s="52"/>
      <c r="W2717" s="52"/>
      <c r="X2717" s="52"/>
      <c r="Y2717" s="52"/>
      <c r="Z2717" s="52"/>
      <c r="AA2717" s="52"/>
      <c r="AB2717" s="52"/>
      <c r="AC2717" s="52"/>
      <c r="AD2717" s="52"/>
      <c r="AE2717" s="52"/>
      <c r="AF2717" s="52"/>
      <c r="AG2717" s="52"/>
      <c r="AH2717" s="52"/>
      <c r="AM2717" s="52"/>
      <c r="AN2717" s="52"/>
    </row>
    <row r="2718" spans="16:40" x14ac:dyDescent="0.2">
      <c r="P2718" s="52"/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  <c r="AD2718" s="52"/>
      <c r="AE2718" s="52"/>
      <c r="AF2718" s="52"/>
      <c r="AG2718" s="52"/>
      <c r="AH2718" s="52"/>
      <c r="AM2718" s="52"/>
      <c r="AN2718" s="52"/>
    </row>
    <row r="2719" spans="16:40" x14ac:dyDescent="0.2">
      <c r="P2719" s="52"/>
      <c r="Q2719" s="52"/>
      <c r="R2719" s="52"/>
      <c r="S2719" s="52"/>
      <c r="T2719" s="52"/>
      <c r="U2719" s="52"/>
      <c r="V2719" s="52"/>
      <c r="W2719" s="52"/>
      <c r="X2719" s="52"/>
      <c r="Y2719" s="52"/>
      <c r="Z2719" s="52"/>
      <c r="AA2719" s="52"/>
      <c r="AB2719" s="52"/>
      <c r="AC2719" s="52"/>
      <c r="AD2719" s="52"/>
      <c r="AE2719" s="52"/>
      <c r="AF2719" s="52"/>
      <c r="AG2719" s="52"/>
      <c r="AH2719" s="52"/>
      <c r="AM2719" s="52"/>
      <c r="AN2719" s="52"/>
    </row>
    <row r="2720" spans="16:40" x14ac:dyDescent="0.2"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2"/>
      <c r="AA2720" s="52"/>
      <c r="AB2720" s="52"/>
      <c r="AC2720" s="52"/>
      <c r="AD2720" s="52"/>
      <c r="AE2720" s="52"/>
      <c r="AF2720" s="52"/>
      <c r="AG2720" s="52"/>
      <c r="AH2720" s="52"/>
      <c r="AM2720" s="52"/>
      <c r="AN2720" s="52"/>
    </row>
    <row r="2721" spans="16:40" x14ac:dyDescent="0.2">
      <c r="P2721" s="52"/>
      <c r="Q2721" s="52"/>
      <c r="R2721" s="52"/>
      <c r="S2721" s="52"/>
      <c r="T2721" s="52"/>
      <c r="U2721" s="52"/>
      <c r="V2721" s="52"/>
      <c r="W2721" s="52"/>
      <c r="X2721" s="52"/>
      <c r="Y2721" s="52"/>
      <c r="Z2721" s="52"/>
      <c r="AA2721" s="52"/>
      <c r="AB2721" s="52"/>
      <c r="AC2721" s="52"/>
      <c r="AD2721" s="52"/>
      <c r="AE2721" s="52"/>
      <c r="AF2721" s="52"/>
      <c r="AG2721" s="52"/>
      <c r="AH2721" s="52"/>
      <c r="AM2721" s="52"/>
      <c r="AN2721" s="52"/>
    </row>
    <row r="2722" spans="16:40" x14ac:dyDescent="0.2">
      <c r="P2722" s="52"/>
      <c r="Q2722" s="52"/>
      <c r="R2722" s="52"/>
      <c r="S2722" s="52"/>
      <c r="T2722" s="52"/>
      <c r="U2722" s="52"/>
      <c r="V2722" s="52"/>
      <c r="W2722" s="52"/>
      <c r="X2722" s="52"/>
      <c r="Y2722" s="52"/>
      <c r="Z2722" s="52"/>
      <c r="AA2722" s="52"/>
      <c r="AB2722" s="52"/>
      <c r="AC2722" s="52"/>
      <c r="AD2722" s="52"/>
      <c r="AE2722" s="52"/>
      <c r="AF2722" s="52"/>
      <c r="AG2722" s="52"/>
      <c r="AH2722" s="52"/>
      <c r="AM2722" s="52"/>
      <c r="AN2722" s="52"/>
    </row>
    <row r="2723" spans="16:40" x14ac:dyDescent="0.2">
      <c r="P2723" s="52"/>
      <c r="Q2723" s="52"/>
      <c r="R2723" s="52"/>
      <c r="S2723" s="52"/>
      <c r="T2723" s="52"/>
      <c r="U2723" s="52"/>
      <c r="V2723" s="52"/>
      <c r="W2723" s="52"/>
      <c r="X2723" s="52"/>
      <c r="Y2723" s="52"/>
      <c r="Z2723" s="52"/>
      <c r="AA2723" s="52"/>
      <c r="AB2723" s="52"/>
      <c r="AC2723" s="52"/>
      <c r="AD2723" s="52"/>
      <c r="AE2723" s="52"/>
      <c r="AF2723" s="52"/>
      <c r="AG2723" s="52"/>
      <c r="AH2723" s="52"/>
      <c r="AM2723" s="52"/>
      <c r="AN2723" s="52"/>
    </row>
    <row r="2724" spans="16:40" x14ac:dyDescent="0.2">
      <c r="P2724" s="52"/>
      <c r="Q2724" s="52"/>
      <c r="R2724" s="52"/>
      <c r="S2724" s="52"/>
      <c r="T2724" s="52"/>
      <c r="U2724" s="52"/>
      <c r="V2724" s="52"/>
      <c r="W2724" s="52"/>
      <c r="X2724" s="52"/>
      <c r="Y2724" s="52"/>
      <c r="Z2724" s="52"/>
      <c r="AA2724" s="52"/>
      <c r="AB2724" s="52"/>
      <c r="AC2724" s="52"/>
      <c r="AD2724" s="52"/>
      <c r="AE2724" s="52"/>
      <c r="AF2724" s="52"/>
      <c r="AG2724" s="52"/>
      <c r="AH2724" s="52"/>
      <c r="AM2724" s="52"/>
      <c r="AN2724" s="52"/>
    </row>
    <row r="2725" spans="16:40" x14ac:dyDescent="0.2">
      <c r="P2725" s="52"/>
      <c r="Q2725" s="52"/>
      <c r="R2725" s="52"/>
      <c r="S2725" s="52"/>
      <c r="T2725" s="52"/>
      <c r="U2725" s="52"/>
      <c r="V2725" s="52"/>
      <c r="W2725" s="52"/>
      <c r="X2725" s="52"/>
      <c r="Y2725" s="52"/>
      <c r="Z2725" s="52"/>
      <c r="AA2725" s="52"/>
      <c r="AB2725" s="52"/>
      <c r="AC2725" s="52"/>
      <c r="AD2725" s="52"/>
      <c r="AE2725" s="52"/>
      <c r="AF2725" s="52"/>
      <c r="AG2725" s="52"/>
      <c r="AH2725" s="52"/>
      <c r="AM2725" s="52"/>
      <c r="AN2725" s="52"/>
    </row>
    <row r="2726" spans="16:40" x14ac:dyDescent="0.2">
      <c r="P2726" s="52"/>
      <c r="Q2726" s="52"/>
      <c r="R2726" s="52"/>
      <c r="S2726" s="52"/>
      <c r="T2726" s="52"/>
      <c r="U2726" s="52"/>
      <c r="V2726" s="52"/>
      <c r="W2726" s="52"/>
      <c r="X2726" s="52"/>
      <c r="Y2726" s="52"/>
      <c r="Z2726" s="52"/>
      <c r="AA2726" s="52"/>
      <c r="AB2726" s="52"/>
      <c r="AC2726" s="52"/>
      <c r="AD2726" s="52"/>
      <c r="AE2726" s="52"/>
      <c r="AF2726" s="52"/>
      <c r="AG2726" s="52"/>
      <c r="AH2726" s="52"/>
      <c r="AM2726" s="52"/>
      <c r="AN2726" s="52"/>
    </row>
    <row r="2727" spans="16:40" x14ac:dyDescent="0.2">
      <c r="P2727" s="52"/>
      <c r="Q2727" s="52"/>
      <c r="R2727" s="52"/>
      <c r="S2727" s="52"/>
      <c r="T2727" s="52"/>
      <c r="U2727" s="52"/>
      <c r="V2727" s="52"/>
      <c r="W2727" s="52"/>
      <c r="X2727" s="52"/>
      <c r="Y2727" s="52"/>
      <c r="Z2727" s="52"/>
      <c r="AA2727" s="52"/>
      <c r="AB2727" s="52"/>
      <c r="AC2727" s="52"/>
      <c r="AD2727" s="52"/>
      <c r="AE2727" s="52"/>
      <c r="AF2727" s="52"/>
      <c r="AG2727" s="52"/>
      <c r="AH2727" s="52"/>
      <c r="AM2727" s="52"/>
      <c r="AN2727" s="52"/>
    </row>
    <row r="2728" spans="16:40" x14ac:dyDescent="0.2">
      <c r="P2728" s="52"/>
      <c r="Q2728" s="52"/>
      <c r="R2728" s="52"/>
      <c r="S2728" s="52"/>
      <c r="T2728" s="52"/>
      <c r="U2728" s="52"/>
      <c r="V2728" s="52"/>
      <c r="W2728" s="52"/>
      <c r="X2728" s="52"/>
      <c r="Y2728" s="52"/>
      <c r="Z2728" s="52"/>
      <c r="AA2728" s="52"/>
      <c r="AB2728" s="52"/>
      <c r="AC2728" s="52"/>
      <c r="AD2728" s="52"/>
      <c r="AE2728" s="52"/>
      <c r="AF2728" s="52"/>
      <c r="AG2728" s="52"/>
      <c r="AH2728" s="52"/>
      <c r="AM2728" s="52"/>
      <c r="AN2728" s="52"/>
    </row>
    <row r="2729" spans="16:40" x14ac:dyDescent="0.2">
      <c r="P2729" s="52"/>
      <c r="Q2729" s="52"/>
      <c r="R2729" s="52"/>
      <c r="S2729" s="52"/>
      <c r="T2729" s="52"/>
      <c r="U2729" s="52"/>
      <c r="V2729" s="52"/>
      <c r="W2729" s="52"/>
      <c r="X2729" s="52"/>
      <c r="Y2729" s="52"/>
      <c r="Z2729" s="52"/>
      <c r="AA2729" s="52"/>
      <c r="AB2729" s="52"/>
      <c r="AC2729" s="52"/>
      <c r="AD2729" s="52"/>
      <c r="AE2729" s="52"/>
      <c r="AF2729" s="52"/>
      <c r="AG2729" s="52"/>
      <c r="AH2729" s="52"/>
      <c r="AM2729" s="52"/>
      <c r="AN2729" s="52"/>
    </row>
    <row r="2730" spans="16:40" x14ac:dyDescent="0.2">
      <c r="P2730" s="52"/>
      <c r="Q2730" s="52"/>
      <c r="R2730" s="52"/>
      <c r="S2730" s="52"/>
      <c r="T2730" s="52"/>
      <c r="U2730" s="52"/>
      <c r="V2730" s="52"/>
      <c r="W2730" s="52"/>
      <c r="X2730" s="52"/>
      <c r="Y2730" s="52"/>
      <c r="Z2730" s="52"/>
      <c r="AA2730" s="52"/>
      <c r="AB2730" s="52"/>
      <c r="AC2730" s="52"/>
      <c r="AD2730" s="52"/>
      <c r="AE2730" s="52"/>
      <c r="AF2730" s="52"/>
      <c r="AG2730" s="52"/>
      <c r="AH2730" s="52"/>
      <c r="AM2730" s="52"/>
      <c r="AN2730" s="52"/>
    </row>
    <row r="2731" spans="16:40" x14ac:dyDescent="0.2">
      <c r="P2731" s="52"/>
      <c r="Q2731" s="52"/>
      <c r="R2731" s="52"/>
      <c r="S2731" s="52"/>
      <c r="T2731" s="52"/>
      <c r="U2731" s="52"/>
      <c r="V2731" s="52"/>
      <c r="W2731" s="52"/>
      <c r="X2731" s="52"/>
      <c r="Y2731" s="52"/>
      <c r="Z2731" s="52"/>
      <c r="AA2731" s="52"/>
      <c r="AB2731" s="52"/>
      <c r="AC2731" s="52"/>
      <c r="AD2731" s="52"/>
      <c r="AE2731" s="52"/>
      <c r="AF2731" s="52"/>
      <c r="AG2731" s="52"/>
      <c r="AH2731" s="52"/>
      <c r="AM2731" s="52"/>
      <c r="AN2731" s="52"/>
    </row>
    <row r="2732" spans="16:40" x14ac:dyDescent="0.2">
      <c r="P2732" s="52"/>
      <c r="Q2732" s="52"/>
      <c r="R2732" s="52"/>
      <c r="S2732" s="52"/>
      <c r="T2732" s="52"/>
      <c r="U2732" s="52"/>
      <c r="V2732" s="52"/>
      <c r="W2732" s="52"/>
      <c r="X2732" s="52"/>
      <c r="Y2732" s="52"/>
      <c r="Z2732" s="52"/>
      <c r="AA2732" s="52"/>
      <c r="AB2732" s="52"/>
      <c r="AC2732" s="52"/>
      <c r="AD2732" s="52"/>
      <c r="AE2732" s="52"/>
      <c r="AF2732" s="52"/>
      <c r="AG2732" s="52"/>
      <c r="AH2732" s="52"/>
      <c r="AM2732" s="52"/>
      <c r="AN2732" s="52"/>
    </row>
    <row r="2733" spans="16:40" x14ac:dyDescent="0.2">
      <c r="P2733" s="52"/>
      <c r="Q2733" s="52"/>
      <c r="R2733" s="52"/>
      <c r="S2733" s="52"/>
      <c r="T2733" s="52"/>
      <c r="U2733" s="52"/>
      <c r="V2733" s="52"/>
      <c r="W2733" s="52"/>
      <c r="X2733" s="52"/>
      <c r="Y2733" s="52"/>
      <c r="Z2733" s="52"/>
      <c r="AA2733" s="52"/>
      <c r="AB2733" s="52"/>
      <c r="AC2733" s="52"/>
      <c r="AD2733" s="52"/>
      <c r="AE2733" s="52"/>
      <c r="AF2733" s="52"/>
      <c r="AG2733" s="52"/>
      <c r="AH2733" s="52"/>
      <c r="AM2733" s="52"/>
      <c r="AN2733" s="52"/>
    </row>
    <row r="2734" spans="16:40" x14ac:dyDescent="0.2">
      <c r="P2734" s="52"/>
      <c r="Q2734" s="52"/>
      <c r="R2734" s="52"/>
      <c r="S2734" s="52"/>
      <c r="T2734" s="52"/>
      <c r="U2734" s="52"/>
      <c r="V2734" s="52"/>
      <c r="W2734" s="52"/>
      <c r="X2734" s="52"/>
      <c r="Y2734" s="52"/>
      <c r="Z2734" s="52"/>
      <c r="AA2734" s="52"/>
      <c r="AB2734" s="52"/>
      <c r="AC2734" s="52"/>
      <c r="AD2734" s="52"/>
      <c r="AE2734" s="52"/>
      <c r="AF2734" s="52"/>
      <c r="AG2734" s="52"/>
      <c r="AH2734" s="52"/>
      <c r="AM2734" s="52"/>
      <c r="AN2734" s="52"/>
    </row>
    <row r="2735" spans="16:40" x14ac:dyDescent="0.2">
      <c r="P2735" s="52"/>
      <c r="Q2735" s="52"/>
      <c r="R2735" s="52"/>
      <c r="S2735" s="52"/>
      <c r="T2735" s="52"/>
      <c r="U2735" s="52"/>
      <c r="V2735" s="52"/>
      <c r="W2735" s="52"/>
      <c r="X2735" s="52"/>
      <c r="Y2735" s="52"/>
      <c r="Z2735" s="52"/>
      <c r="AA2735" s="52"/>
      <c r="AB2735" s="52"/>
      <c r="AC2735" s="52"/>
      <c r="AD2735" s="52"/>
      <c r="AE2735" s="52"/>
      <c r="AF2735" s="52"/>
      <c r="AG2735" s="52"/>
      <c r="AH2735" s="52"/>
      <c r="AM2735" s="52"/>
      <c r="AN2735" s="52"/>
    </row>
    <row r="2736" spans="16:40" x14ac:dyDescent="0.2">
      <c r="P2736" s="52"/>
      <c r="Q2736" s="52"/>
      <c r="R2736" s="52"/>
      <c r="S2736" s="52"/>
      <c r="T2736" s="52"/>
      <c r="U2736" s="52"/>
      <c r="V2736" s="52"/>
      <c r="W2736" s="52"/>
      <c r="X2736" s="52"/>
      <c r="Y2736" s="52"/>
      <c r="Z2736" s="52"/>
      <c r="AA2736" s="52"/>
      <c r="AB2736" s="52"/>
      <c r="AC2736" s="52"/>
      <c r="AD2736" s="52"/>
      <c r="AE2736" s="52"/>
      <c r="AF2736" s="52"/>
      <c r="AG2736" s="52"/>
      <c r="AH2736" s="52"/>
      <c r="AM2736" s="52"/>
      <c r="AN2736" s="52"/>
    </row>
    <row r="2737" spans="16:40" x14ac:dyDescent="0.2">
      <c r="P2737" s="52"/>
      <c r="Q2737" s="52"/>
      <c r="R2737" s="52"/>
      <c r="S2737" s="52"/>
      <c r="T2737" s="52"/>
      <c r="U2737" s="52"/>
      <c r="V2737" s="52"/>
      <c r="W2737" s="52"/>
      <c r="X2737" s="52"/>
      <c r="Y2737" s="52"/>
      <c r="Z2737" s="52"/>
      <c r="AA2737" s="52"/>
      <c r="AB2737" s="52"/>
      <c r="AC2737" s="52"/>
      <c r="AD2737" s="52"/>
      <c r="AE2737" s="52"/>
      <c r="AF2737" s="52"/>
      <c r="AG2737" s="52"/>
      <c r="AH2737" s="52"/>
      <c r="AM2737" s="52"/>
      <c r="AN2737" s="52"/>
    </row>
    <row r="2738" spans="16:40" x14ac:dyDescent="0.2">
      <c r="P2738" s="52"/>
      <c r="Q2738" s="52"/>
      <c r="R2738" s="52"/>
      <c r="S2738" s="52"/>
      <c r="T2738" s="52"/>
      <c r="U2738" s="52"/>
      <c r="V2738" s="52"/>
      <c r="W2738" s="52"/>
      <c r="X2738" s="52"/>
      <c r="Y2738" s="52"/>
      <c r="Z2738" s="52"/>
      <c r="AA2738" s="52"/>
      <c r="AB2738" s="52"/>
      <c r="AC2738" s="52"/>
      <c r="AD2738" s="52"/>
      <c r="AE2738" s="52"/>
      <c r="AF2738" s="52"/>
      <c r="AG2738" s="52"/>
      <c r="AH2738" s="52"/>
      <c r="AM2738" s="52"/>
      <c r="AN2738" s="52"/>
    </row>
    <row r="2739" spans="16:40" x14ac:dyDescent="0.2">
      <c r="P2739" s="52"/>
      <c r="Q2739" s="52"/>
      <c r="R2739" s="52"/>
      <c r="S2739" s="52"/>
      <c r="T2739" s="52"/>
      <c r="U2739" s="52"/>
      <c r="V2739" s="52"/>
      <c r="W2739" s="52"/>
      <c r="X2739" s="52"/>
      <c r="Y2739" s="52"/>
      <c r="Z2739" s="52"/>
      <c r="AA2739" s="52"/>
      <c r="AB2739" s="52"/>
      <c r="AC2739" s="52"/>
      <c r="AD2739" s="52"/>
      <c r="AE2739" s="52"/>
      <c r="AF2739" s="52"/>
      <c r="AG2739" s="52"/>
      <c r="AH2739" s="52"/>
      <c r="AM2739" s="52"/>
      <c r="AN2739" s="52"/>
    </row>
    <row r="2740" spans="16:40" x14ac:dyDescent="0.2">
      <c r="P2740" s="52"/>
      <c r="Q2740" s="52"/>
      <c r="R2740" s="52"/>
      <c r="S2740" s="52"/>
      <c r="T2740" s="52"/>
      <c r="U2740" s="52"/>
      <c r="V2740" s="52"/>
      <c r="W2740" s="52"/>
      <c r="X2740" s="52"/>
      <c r="Y2740" s="52"/>
      <c r="Z2740" s="52"/>
      <c r="AA2740" s="52"/>
      <c r="AB2740" s="52"/>
      <c r="AC2740" s="52"/>
      <c r="AD2740" s="52"/>
      <c r="AE2740" s="52"/>
      <c r="AF2740" s="52"/>
      <c r="AG2740" s="52"/>
      <c r="AH2740" s="52"/>
      <c r="AM2740" s="52"/>
      <c r="AN2740" s="52"/>
    </row>
    <row r="2741" spans="16:40" x14ac:dyDescent="0.2">
      <c r="P2741" s="52"/>
      <c r="Q2741" s="52"/>
      <c r="R2741" s="52"/>
      <c r="S2741" s="52"/>
      <c r="T2741" s="52"/>
      <c r="U2741" s="52"/>
      <c r="V2741" s="52"/>
      <c r="W2741" s="52"/>
      <c r="X2741" s="52"/>
      <c r="Y2741" s="52"/>
      <c r="Z2741" s="52"/>
      <c r="AA2741" s="52"/>
      <c r="AB2741" s="52"/>
      <c r="AC2741" s="52"/>
      <c r="AD2741" s="52"/>
      <c r="AE2741" s="52"/>
      <c r="AF2741" s="52"/>
      <c r="AG2741" s="52"/>
      <c r="AH2741" s="52"/>
      <c r="AM2741" s="52"/>
      <c r="AN2741" s="52"/>
    </row>
    <row r="2742" spans="16:40" x14ac:dyDescent="0.2">
      <c r="P2742" s="52"/>
      <c r="Q2742" s="52"/>
      <c r="R2742" s="52"/>
      <c r="S2742" s="52"/>
      <c r="T2742" s="52"/>
      <c r="U2742" s="52"/>
      <c r="V2742" s="52"/>
      <c r="W2742" s="52"/>
      <c r="X2742" s="52"/>
      <c r="Y2742" s="52"/>
      <c r="Z2742" s="52"/>
      <c r="AA2742" s="52"/>
      <c r="AB2742" s="52"/>
      <c r="AC2742" s="52"/>
      <c r="AD2742" s="52"/>
      <c r="AE2742" s="52"/>
      <c r="AF2742" s="52"/>
      <c r="AG2742" s="52"/>
      <c r="AH2742" s="52"/>
      <c r="AM2742" s="52"/>
      <c r="AN2742" s="52"/>
    </row>
    <row r="2743" spans="16:40" x14ac:dyDescent="0.2">
      <c r="P2743" s="52"/>
      <c r="Q2743" s="52"/>
      <c r="R2743" s="52"/>
      <c r="S2743" s="52"/>
      <c r="T2743" s="52"/>
      <c r="U2743" s="52"/>
      <c r="V2743" s="52"/>
      <c r="W2743" s="52"/>
      <c r="X2743" s="52"/>
      <c r="Y2743" s="52"/>
      <c r="Z2743" s="52"/>
      <c r="AA2743" s="52"/>
      <c r="AB2743" s="52"/>
      <c r="AC2743" s="52"/>
      <c r="AD2743" s="52"/>
      <c r="AE2743" s="52"/>
      <c r="AF2743" s="52"/>
      <c r="AG2743" s="52"/>
      <c r="AH2743" s="52"/>
      <c r="AM2743" s="52"/>
      <c r="AN2743" s="52"/>
    </row>
    <row r="2744" spans="16:40" x14ac:dyDescent="0.2">
      <c r="P2744" s="52"/>
      <c r="Q2744" s="52"/>
      <c r="R2744" s="52"/>
      <c r="S2744" s="52"/>
      <c r="T2744" s="52"/>
      <c r="U2744" s="52"/>
      <c r="V2744" s="52"/>
      <c r="W2744" s="52"/>
      <c r="X2744" s="52"/>
      <c r="Y2744" s="52"/>
      <c r="Z2744" s="52"/>
      <c r="AA2744" s="52"/>
      <c r="AB2744" s="52"/>
      <c r="AC2744" s="52"/>
      <c r="AD2744" s="52"/>
      <c r="AE2744" s="52"/>
      <c r="AF2744" s="52"/>
      <c r="AG2744" s="52"/>
      <c r="AH2744" s="52"/>
      <c r="AM2744" s="52"/>
      <c r="AN2744" s="52"/>
    </row>
    <row r="2745" spans="16:40" x14ac:dyDescent="0.2">
      <c r="P2745" s="52"/>
      <c r="Q2745" s="52"/>
      <c r="R2745" s="52"/>
      <c r="S2745" s="52"/>
      <c r="T2745" s="52"/>
      <c r="U2745" s="52"/>
      <c r="V2745" s="52"/>
      <c r="W2745" s="52"/>
      <c r="X2745" s="52"/>
      <c r="Y2745" s="52"/>
      <c r="Z2745" s="52"/>
      <c r="AA2745" s="52"/>
      <c r="AB2745" s="52"/>
      <c r="AC2745" s="52"/>
      <c r="AD2745" s="52"/>
      <c r="AE2745" s="52"/>
      <c r="AF2745" s="52"/>
      <c r="AG2745" s="52"/>
      <c r="AH2745" s="52"/>
      <c r="AM2745" s="52"/>
      <c r="AN2745" s="52"/>
    </row>
    <row r="2746" spans="16:40" x14ac:dyDescent="0.2">
      <c r="P2746" s="52"/>
      <c r="Q2746" s="52"/>
      <c r="R2746" s="52"/>
      <c r="S2746" s="52"/>
      <c r="T2746" s="52"/>
      <c r="U2746" s="52"/>
      <c r="V2746" s="52"/>
      <c r="W2746" s="52"/>
      <c r="X2746" s="52"/>
      <c r="Y2746" s="52"/>
      <c r="Z2746" s="52"/>
      <c r="AA2746" s="52"/>
      <c r="AB2746" s="52"/>
      <c r="AC2746" s="52"/>
      <c r="AD2746" s="52"/>
      <c r="AE2746" s="52"/>
      <c r="AF2746" s="52"/>
      <c r="AG2746" s="52"/>
      <c r="AH2746" s="52"/>
      <c r="AM2746" s="52"/>
      <c r="AN2746" s="52"/>
    </row>
    <row r="2747" spans="16:40" x14ac:dyDescent="0.2">
      <c r="P2747" s="52"/>
      <c r="Q2747" s="52"/>
      <c r="R2747" s="52"/>
      <c r="S2747" s="52"/>
      <c r="T2747" s="52"/>
      <c r="U2747" s="52"/>
      <c r="V2747" s="52"/>
      <c r="W2747" s="52"/>
      <c r="X2747" s="52"/>
      <c r="Y2747" s="52"/>
      <c r="Z2747" s="52"/>
      <c r="AA2747" s="52"/>
      <c r="AB2747" s="52"/>
      <c r="AC2747" s="52"/>
      <c r="AD2747" s="52"/>
      <c r="AE2747" s="52"/>
      <c r="AF2747" s="52"/>
      <c r="AG2747" s="52"/>
      <c r="AH2747" s="52"/>
      <c r="AM2747" s="52"/>
      <c r="AN2747" s="52"/>
    </row>
    <row r="2748" spans="16:40" x14ac:dyDescent="0.2">
      <c r="P2748" s="52"/>
      <c r="Q2748" s="52"/>
      <c r="R2748" s="52"/>
      <c r="S2748" s="52"/>
      <c r="T2748" s="52"/>
      <c r="U2748" s="52"/>
      <c r="V2748" s="52"/>
      <c r="W2748" s="52"/>
      <c r="X2748" s="52"/>
      <c r="Y2748" s="52"/>
      <c r="Z2748" s="52"/>
      <c r="AA2748" s="52"/>
      <c r="AB2748" s="52"/>
      <c r="AC2748" s="52"/>
      <c r="AD2748" s="52"/>
      <c r="AE2748" s="52"/>
      <c r="AF2748" s="52"/>
      <c r="AG2748" s="52"/>
      <c r="AH2748" s="52"/>
      <c r="AM2748" s="52"/>
      <c r="AN2748" s="52"/>
    </row>
    <row r="2749" spans="16:40" x14ac:dyDescent="0.2">
      <c r="P2749" s="52"/>
      <c r="Q2749" s="52"/>
      <c r="R2749" s="52"/>
      <c r="S2749" s="52"/>
      <c r="T2749" s="52"/>
      <c r="U2749" s="52"/>
      <c r="V2749" s="52"/>
      <c r="W2749" s="52"/>
      <c r="X2749" s="52"/>
      <c r="Y2749" s="52"/>
      <c r="Z2749" s="52"/>
      <c r="AA2749" s="52"/>
      <c r="AB2749" s="52"/>
      <c r="AC2749" s="52"/>
      <c r="AD2749" s="52"/>
      <c r="AE2749" s="52"/>
      <c r="AF2749" s="52"/>
      <c r="AG2749" s="52"/>
      <c r="AH2749" s="52"/>
      <c r="AM2749" s="52"/>
      <c r="AN2749" s="52"/>
    </row>
    <row r="2750" spans="16:40" x14ac:dyDescent="0.2">
      <c r="P2750" s="52"/>
      <c r="Q2750" s="52"/>
      <c r="R2750" s="52"/>
      <c r="S2750" s="52"/>
      <c r="T2750" s="52"/>
      <c r="U2750" s="52"/>
      <c r="V2750" s="52"/>
      <c r="W2750" s="52"/>
      <c r="X2750" s="52"/>
      <c r="Y2750" s="52"/>
      <c r="Z2750" s="52"/>
      <c r="AA2750" s="52"/>
      <c r="AB2750" s="52"/>
      <c r="AC2750" s="52"/>
      <c r="AD2750" s="52"/>
      <c r="AE2750" s="52"/>
      <c r="AF2750" s="52"/>
      <c r="AG2750" s="52"/>
      <c r="AH2750" s="52"/>
      <c r="AM2750" s="52"/>
      <c r="AN2750" s="52"/>
    </row>
    <row r="2751" spans="16:40" x14ac:dyDescent="0.2">
      <c r="P2751" s="52"/>
      <c r="Q2751" s="52"/>
      <c r="R2751" s="52"/>
      <c r="S2751" s="52"/>
      <c r="T2751" s="52"/>
      <c r="U2751" s="52"/>
      <c r="V2751" s="52"/>
      <c r="W2751" s="52"/>
      <c r="X2751" s="52"/>
      <c r="Y2751" s="52"/>
      <c r="Z2751" s="52"/>
      <c r="AA2751" s="52"/>
      <c r="AB2751" s="52"/>
      <c r="AC2751" s="52"/>
      <c r="AD2751" s="52"/>
      <c r="AE2751" s="52"/>
      <c r="AF2751" s="52"/>
      <c r="AG2751" s="52"/>
      <c r="AH2751" s="52"/>
      <c r="AM2751" s="52"/>
      <c r="AN2751" s="52"/>
    </row>
    <row r="2752" spans="16:40" x14ac:dyDescent="0.2">
      <c r="P2752" s="52"/>
      <c r="Q2752" s="52"/>
      <c r="R2752" s="52"/>
      <c r="S2752" s="52"/>
      <c r="T2752" s="52"/>
      <c r="U2752" s="52"/>
      <c r="V2752" s="52"/>
      <c r="W2752" s="52"/>
      <c r="X2752" s="52"/>
      <c r="Y2752" s="52"/>
      <c r="Z2752" s="52"/>
      <c r="AA2752" s="52"/>
      <c r="AB2752" s="52"/>
      <c r="AC2752" s="52"/>
      <c r="AD2752" s="52"/>
      <c r="AE2752" s="52"/>
      <c r="AF2752" s="52"/>
      <c r="AG2752" s="52"/>
      <c r="AH2752" s="52"/>
      <c r="AM2752" s="52"/>
      <c r="AN2752" s="52"/>
    </row>
    <row r="2753" spans="16:40" x14ac:dyDescent="0.2">
      <c r="P2753" s="52"/>
      <c r="Q2753" s="52"/>
      <c r="R2753" s="52"/>
      <c r="S2753" s="52"/>
      <c r="T2753" s="52"/>
      <c r="U2753" s="52"/>
      <c r="V2753" s="52"/>
      <c r="W2753" s="52"/>
      <c r="X2753" s="52"/>
      <c r="Y2753" s="52"/>
      <c r="Z2753" s="52"/>
      <c r="AA2753" s="52"/>
      <c r="AB2753" s="52"/>
      <c r="AC2753" s="52"/>
      <c r="AD2753" s="52"/>
      <c r="AE2753" s="52"/>
      <c r="AF2753" s="52"/>
      <c r="AG2753" s="52"/>
      <c r="AH2753" s="52"/>
      <c r="AM2753" s="52"/>
      <c r="AN2753" s="52"/>
    </row>
    <row r="2754" spans="16:40" x14ac:dyDescent="0.2">
      <c r="P2754" s="52"/>
      <c r="Q2754" s="52"/>
      <c r="R2754" s="52"/>
      <c r="S2754" s="52"/>
      <c r="T2754" s="52"/>
      <c r="U2754" s="52"/>
      <c r="V2754" s="52"/>
      <c r="W2754" s="52"/>
      <c r="X2754" s="52"/>
      <c r="Y2754" s="52"/>
      <c r="Z2754" s="52"/>
      <c r="AA2754" s="52"/>
      <c r="AB2754" s="52"/>
      <c r="AC2754" s="52"/>
      <c r="AD2754" s="52"/>
      <c r="AE2754" s="52"/>
      <c r="AF2754" s="52"/>
      <c r="AG2754" s="52"/>
      <c r="AH2754" s="52"/>
      <c r="AM2754" s="52"/>
      <c r="AN2754" s="52"/>
    </row>
    <row r="2755" spans="16:40" x14ac:dyDescent="0.2">
      <c r="P2755" s="52"/>
      <c r="Q2755" s="52"/>
      <c r="R2755" s="52"/>
      <c r="S2755" s="52"/>
      <c r="T2755" s="52"/>
      <c r="U2755" s="52"/>
      <c r="V2755" s="52"/>
      <c r="W2755" s="52"/>
      <c r="X2755" s="52"/>
      <c r="Y2755" s="52"/>
      <c r="Z2755" s="52"/>
      <c r="AA2755" s="52"/>
      <c r="AB2755" s="52"/>
      <c r="AC2755" s="52"/>
      <c r="AD2755" s="52"/>
      <c r="AE2755" s="52"/>
      <c r="AF2755" s="52"/>
      <c r="AG2755" s="52"/>
      <c r="AH2755" s="52"/>
      <c r="AM2755" s="52"/>
      <c r="AN2755" s="52"/>
    </row>
    <row r="2756" spans="16:40" x14ac:dyDescent="0.2">
      <c r="P2756" s="52"/>
      <c r="Q2756" s="52"/>
      <c r="R2756" s="52"/>
      <c r="S2756" s="52"/>
      <c r="T2756" s="52"/>
      <c r="U2756" s="52"/>
      <c r="V2756" s="52"/>
      <c r="W2756" s="52"/>
      <c r="X2756" s="52"/>
      <c r="Y2756" s="52"/>
      <c r="Z2756" s="52"/>
      <c r="AA2756" s="52"/>
      <c r="AB2756" s="52"/>
      <c r="AC2756" s="52"/>
      <c r="AD2756" s="52"/>
      <c r="AE2756" s="52"/>
      <c r="AF2756" s="52"/>
      <c r="AG2756" s="52"/>
      <c r="AH2756" s="52"/>
      <c r="AM2756" s="52"/>
      <c r="AN2756" s="52"/>
    </row>
    <row r="2757" spans="16:40" x14ac:dyDescent="0.2">
      <c r="P2757" s="52"/>
      <c r="Q2757" s="52"/>
      <c r="R2757" s="52"/>
      <c r="S2757" s="52"/>
      <c r="T2757" s="52"/>
      <c r="U2757" s="52"/>
      <c r="V2757" s="52"/>
      <c r="W2757" s="52"/>
      <c r="X2757" s="52"/>
      <c r="Y2757" s="52"/>
      <c r="Z2757" s="52"/>
      <c r="AA2757" s="52"/>
      <c r="AB2757" s="52"/>
      <c r="AC2757" s="52"/>
      <c r="AD2757" s="52"/>
      <c r="AE2757" s="52"/>
      <c r="AF2757" s="52"/>
      <c r="AG2757" s="52"/>
      <c r="AH2757" s="52"/>
      <c r="AM2757" s="52"/>
      <c r="AN2757" s="52"/>
    </row>
    <row r="2758" spans="16:40" x14ac:dyDescent="0.2"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2"/>
      <c r="AA2758" s="52"/>
      <c r="AB2758" s="52"/>
      <c r="AC2758" s="52"/>
      <c r="AD2758" s="52"/>
      <c r="AE2758" s="52"/>
      <c r="AF2758" s="52"/>
      <c r="AG2758" s="52"/>
      <c r="AH2758" s="52"/>
      <c r="AM2758" s="52"/>
      <c r="AN2758" s="52"/>
    </row>
    <row r="2759" spans="16:40" x14ac:dyDescent="0.2">
      <c r="P2759" s="52"/>
      <c r="Q2759" s="52"/>
      <c r="R2759" s="52"/>
      <c r="S2759" s="52"/>
      <c r="T2759" s="52"/>
      <c r="U2759" s="52"/>
      <c r="V2759" s="52"/>
      <c r="W2759" s="52"/>
      <c r="X2759" s="52"/>
      <c r="Y2759" s="52"/>
      <c r="Z2759" s="52"/>
      <c r="AA2759" s="52"/>
      <c r="AB2759" s="52"/>
      <c r="AC2759" s="52"/>
      <c r="AD2759" s="52"/>
      <c r="AE2759" s="52"/>
      <c r="AF2759" s="52"/>
      <c r="AG2759" s="52"/>
      <c r="AH2759" s="52"/>
      <c r="AM2759" s="52"/>
      <c r="AN2759" s="52"/>
    </row>
    <row r="2760" spans="16:40" x14ac:dyDescent="0.2">
      <c r="P2760" s="52"/>
      <c r="Q2760" s="52"/>
      <c r="R2760" s="52"/>
      <c r="S2760" s="52"/>
      <c r="T2760" s="52"/>
      <c r="U2760" s="52"/>
      <c r="V2760" s="52"/>
      <c r="W2760" s="52"/>
      <c r="X2760" s="52"/>
      <c r="Y2760" s="52"/>
      <c r="Z2760" s="52"/>
      <c r="AA2760" s="52"/>
      <c r="AB2760" s="52"/>
      <c r="AC2760" s="52"/>
      <c r="AD2760" s="52"/>
      <c r="AE2760" s="52"/>
      <c r="AF2760" s="52"/>
      <c r="AG2760" s="52"/>
      <c r="AH2760" s="52"/>
      <c r="AM2760" s="52"/>
      <c r="AN2760" s="52"/>
    </row>
    <row r="2761" spans="16:40" x14ac:dyDescent="0.2">
      <c r="P2761" s="52"/>
      <c r="Q2761" s="52"/>
      <c r="R2761" s="52"/>
      <c r="S2761" s="52"/>
      <c r="T2761" s="52"/>
      <c r="U2761" s="52"/>
      <c r="V2761" s="52"/>
      <c r="W2761" s="52"/>
      <c r="X2761" s="52"/>
      <c r="Y2761" s="52"/>
      <c r="Z2761" s="52"/>
      <c r="AA2761" s="52"/>
      <c r="AB2761" s="52"/>
      <c r="AC2761" s="52"/>
      <c r="AD2761" s="52"/>
      <c r="AE2761" s="52"/>
      <c r="AF2761" s="52"/>
      <c r="AG2761" s="52"/>
      <c r="AH2761" s="52"/>
      <c r="AM2761" s="52"/>
      <c r="AN2761" s="52"/>
    </row>
    <row r="2762" spans="16:40" x14ac:dyDescent="0.2">
      <c r="P2762" s="52"/>
      <c r="Q2762" s="52"/>
      <c r="R2762" s="52"/>
      <c r="S2762" s="52"/>
      <c r="T2762" s="52"/>
      <c r="U2762" s="52"/>
      <c r="V2762" s="52"/>
      <c r="W2762" s="52"/>
      <c r="X2762" s="52"/>
      <c r="Y2762" s="52"/>
      <c r="Z2762" s="52"/>
      <c r="AA2762" s="52"/>
      <c r="AB2762" s="52"/>
      <c r="AC2762" s="52"/>
      <c r="AD2762" s="52"/>
      <c r="AE2762" s="52"/>
      <c r="AF2762" s="52"/>
      <c r="AG2762" s="52"/>
      <c r="AH2762" s="52"/>
      <c r="AM2762" s="52"/>
      <c r="AN2762" s="52"/>
    </row>
    <row r="2763" spans="16:40" x14ac:dyDescent="0.2">
      <c r="P2763" s="52"/>
      <c r="Q2763" s="52"/>
      <c r="R2763" s="52"/>
      <c r="S2763" s="52"/>
      <c r="T2763" s="52"/>
      <c r="U2763" s="52"/>
      <c r="V2763" s="52"/>
      <c r="W2763" s="52"/>
      <c r="X2763" s="52"/>
      <c r="Y2763" s="52"/>
      <c r="Z2763" s="52"/>
      <c r="AA2763" s="52"/>
      <c r="AB2763" s="52"/>
      <c r="AC2763" s="52"/>
      <c r="AD2763" s="52"/>
      <c r="AE2763" s="52"/>
      <c r="AF2763" s="52"/>
      <c r="AG2763" s="52"/>
      <c r="AH2763" s="52"/>
      <c r="AM2763" s="52"/>
      <c r="AN2763" s="52"/>
    </row>
    <row r="2764" spans="16:40" x14ac:dyDescent="0.2">
      <c r="P2764" s="52"/>
      <c r="Q2764" s="52"/>
      <c r="R2764" s="52"/>
      <c r="S2764" s="52"/>
      <c r="T2764" s="52"/>
      <c r="U2764" s="52"/>
      <c r="V2764" s="52"/>
      <c r="W2764" s="52"/>
      <c r="X2764" s="52"/>
      <c r="Y2764" s="52"/>
      <c r="Z2764" s="52"/>
      <c r="AA2764" s="52"/>
      <c r="AB2764" s="52"/>
      <c r="AC2764" s="52"/>
      <c r="AD2764" s="52"/>
      <c r="AE2764" s="52"/>
      <c r="AF2764" s="52"/>
      <c r="AG2764" s="52"/>
      <c r="AH2764" s="52"/>
      <c r="AM2764" s="52"/>
      <c r="AN2764" s="52"/>
    </row>
    <row r="2765" spans="16:40" x14ac:dyDescent="0.2">
      <c r="P2765" s="52"/>
      <c r="Q2765" s="52"/>
      <c r="R2765" s="52"/>
      <c r="S2765" s="52"/>
      <c r="T2765" s="52"/>
      <c r="U2765" s="52"/>
      <c r="V2765" s="52"/>
      <c r="W2765" s="52"/>
      <c r="X2765" s="52"/>
      <c r="Y2765" s="52"/>
      <c r="Z2765" s="52"/>
      <c r="AA2765" s="52"/>
      <c r="AB2765" s="52"/>
      <c r="AC2765" s="52"/>
      <c r="AD2765" s="52"/>
      <c r="AE2765" s="52"/>
      <c r="AF2765" s="52"/>
      <c r="AG2765" s="52"/>
      <c r="AH2765" s="52"/>
      <c r="AM2765" s="52"/>
      <c r="AN2765" s="52"/>
    </row>
    <row r="2766" spans="16:40" x14ac:dyDescent="0.2">
      <c r="P2766" s="52"/>
      <c r="Q2766" s="52"/>
      <c r="R2766" s="52"/>
      <c r="S2766" s="52"/>
      <c r="T2766" s="52"/>
      <c r="U2766" s="52"/>
      <c r="V2766" s="52"/>
      <c r="W2766" s="52"/>
      <c r="X2766" s="52"/>
      <c r="Y2766" s="52"/>
      <c r="Z2766" s="52"/>
      <c r="AA2766" s="52"/>
      <c r="AB2766" s="52"/>
      <c r="AC2766" s="52"/>
      <c r="AD2766" s="52"/>
      <c r="AE2766" s="52"/>
      <c r="AF2766" s="52"/>
      <c r="AG2766" s="52"/>
      <c r="AH2766" s="52"/>
      <c r="AM2766" s="52"/>
      <c r="AN2766" s="52"/>
    </row>
    <row r="2767" spans="16:40" x14ac:dyDescent="0.2">
      <c r="P2767" s="52"/>
      <c r="Q2767" s="52"/>
      <c r="R2767" s="52"/>
      <c r="S2767" s="52"/>
      <c r="T2767" s="52"/>
      <c r="U2767" s="52"/>
      <c r="V2767" s="52"/>
      <c r="W2767" s="52"/>
      <c r="X2767" s="52"/>
      <c r="Y2767" s="52"/>
      <c r="Z2767" s="52"/>
      <c r="AA2767" s="52"/>
      <c r="AB2767" s="52"/>
      <c r="AC2767" s="52"/>
      <c r="AD2767" s="52"/>
      <c r="AE2767" s="52"/>
      <c r="AF2767" s="52"/>
      <c r="AG2767" s="52"/>
      <c r="AH2767" s="52"/>
      <c r="AM2767" s="52"/>
      <c r="AN2767" s="52"/>
    </row>
    <row r="2768" spans="16:40" x14ac:dyDescent="0.2">
      <c r="P2768" s="52"/>
      <c r="Q2768" s="52"/>
      <c r="R2768" s="52"/>
      <c r="S2768" s="52"/>
      <c r="T2768" s="52"/>
      <c r="U2768" s="52"/>
      <c r="V2768" s="52"/>
      <c r="W2768" s="52"/>
      <c r="X2768" s="52"/>
      <c r="Y2768" s="52"/>
      <c r="Z2768" s="52"/>
      <c r="AA2768" s="52"/>
      <c r="AB2768" s="52"/>
      <c r="AC2768" s="52"/>
      <c r="AD2768" s="52"/>
      <c r="AE2768" s="52"/>
      <c r="AF2768" s="52"/>
      <c r="AG2768" s="52"/>
      <c r="AH2768" s="52"/>
      <c r="AM2768" s="52"/>
      <c r="AN2768" s="52"/>
    </row>
    <row r="2769" spans="16:40" x14ac:dyDescent="0.2">
      <c r="P2769" s="52"/>
      <c r="Q2769" s="52"/>
      <c r="R2769" s="52"/>
      <c r="S2769" s="52"/>
      <c r="T2769" s="52"/>
      <c r="U2769" s="52"/>
      <c r="V2769" s="52"/>
      <c r="W2769" s="52"/>
      <c r="X2769" s="52"/>
      <c r="Y2769" s="52"/>
      <c r="Z2769" s="52"/>
      <c r="AA2769" s="52"/>
      <c r="AB2769" s="52"/>
      <c r="AC2769" s="52"/>
      <c r="AD2769" s="52"/>
      <c r="AE2769" s="52"/>
      <c r="AF2769" s="52"/>
      <c r="AG2769" s="52"/>
      <c r="AH2769" s="52"/>
      <c r="AM2769" s="52"/>
      <c r="AN2769" s="52"/>
    </row>
    <row r="2770" spans="16:40" x14ac:dyDescent="0.2">
      <c r="P2770" s="52"/>
      <c r="Q2770" s="52"/>
      <c r="R2770" s="52"/>
      <c r="S2770" s="52"/>
      <c r="T2770" s="52"/>
      <c r="U2770" s="52"/>
      <c r="V2770" s="52"/>
      <c r="W2770" s="52"/>
      <c r="X2770" s="52"/>
      <c r="Y2770" s="52"/>
      <c r="Z2770" s="52"/>
      <c r="AA2770" s="52"/>
      <c r="AB2770" s="52"/>
      <c r="AC2770" s="52"/>
      <c r="AD2770" s="52"/>
      <c r="AE2770" s="52"/>
      <c r="AF2770" s="52"/>
      <c r="AG2770" s="52"/>
      <c r="AH2770" s="52"/>
      <c r="AM2770" s="52"/>
      <c r="AN2770" s="52"/>
    </row>
    <row r="2771" spans="16:40" x14ac:dyDescent="0.2">
      <c r="P2771" s="52"/>
      <c r="Q2771" s="52"/>
      <c r="R2771" s="52"/>
      <c r="S2771" s="52"/>
      <c r="T2771" s="52"/>
      <c r="U2771" s="52"/>
      <c r="V2771" s="52"/>
      <c r="W2771" s="52"/>
      <c r="X2771" s="52"/>
      <c r="Y2771" s="52"/>
      <c r="Z2771" s="52"/>
      <c r="AA2771" s="52"/>
      <c r="AB2771" s="52"/>
      <c r="AC2771" s="52"/>
      <c r="AD2771" s="52"/>
      <c r="AE2771" s="52"/>
      <c r="AF2771" s="52"/>
      <c r="AG2771" s="52"/>
      <c r="AH2771" s="52"/>
      <c r="AM2771" s="52"/>
      <c r="AN2771" s="52"/>
    </row>
    <row r="2772" spans="16:40" x14ac:dyDescent="0.2">
      <c r="P2772" s="52"/>
      <c r="Q2772" s="52"/>
      <c r="R2772" s="52"/>
      <c r="S2772" s="52"/>
      <c r="T2772" s="52"/>
      <c r="U2772" s="52"/>
      <c r="V2772" s="52"/>
      <c r="W2772" s="52"/>
      <c r="X2772" s="52"/>
      <c r="Y2772" s="52"/>
      <c r="Z2772" s="52"/>
      <c r="AA2772" s="52"/>
      <c r="AB2772" s="52"/>
      <c r="AC2772" s="52"/>
      <c r="AD2772" s="52"/>
      <c r="AE2772" s="52"/>
      <c r="AF2772" s="52"/>
      <c r="AG2772" s="52"/>
      <c r="AH2772" s="52"/>
      <c r="AM2772" s="52"/>
      <c r="AN2772" s="52"/>
    </row>
    <row r="2773" spans="16:40" x14ac:dyDescent="0.2">
      <c r="P2773" s="52"/>
      <c r="Q2773" s="52"/>
      <c r="R2773" s="52"/>
      <c r="S2773" s="52"/>
      <c r="T2773" s="52"/>
      <c r="U2773" s="52"/>
      <c r="V2773" s="52"/>
      <c r="W2773" s="52"/>
      <c r="X2773" s="52"/>
      <c r="Y2773" s="52"/>
      <c r="Z2773" s="52"/>
      <c r="AA2773" s="52"/>
      <c r="AB2773" s="52"/>
      <c r="AC2773" s="52"/>
      <c r="AD2773" s="52"/>
      <c r="AE2773" s="52"/>
      <c r="AF2773" s="52"/>
      <c r="AG2773" s="52"/>
      <c r="AH2773" s="52"/>
      <c r="AM2773" s="52"/>
      <c r="AN2773" s="52"/>
    </row>
    <row r="2774" spans="16:40" x14ac:dyDescent="0.2">
      <c r="P2774" s="52"/>
      <c r="Q2774" s="52"/>
      <c r="R2774" s="52"/>
      <c r="S2774" s="52"/>
      <c r="T2774" s="52"/>
      <c r="U2774" s="52"/>
      <c r="V2774" s="52"/>
      <c r="W2774" s="52"/>
      <c r="X2774" s="52"/>
      <c r="Y2774" s="52"/>
      <c r="Z2774" s="52"/>
      <c r="AA2774" s="52"/>
      <c r="AB2774" s="52"/>
      <c r="AC2774" s="52"/>
      <c r="AD2774" s="52"/>
      <c r="AE2774" s="52"/>
      <c r="AF2774" s="52"/>
      <c r="AG2774" s="52"/>
      <c r="AH2774" s="52"/>
      <c r="AM2774" s="52"/>
      <c r="AN2774" s="52"/>
    </row>
    <row r="2775" spans="16:40" x14ac:dyDescent="0.2">
      <c r="P2775" s="52"/>
      <c r="Q2775" s="52"/>
      <c r="R2775" s="52"/>
      <c r="S2775" s="52"/>
      <c r="T2775" s="52"/>
      <c r="U2775" s="52"/>
      <c r="V2775" s="52"/>
      <c r="W2775" s="52"/>
      <c r="X2775" s="52"/>
      <c r="Y2775" s="52"/>
      <c r="Z2775" s="52"/>
      <c r="AA2775" s="52"/>
      <c r="AB2775" s="52"/>
      <c r="AC2775" s="52"/>
      <c r="AD2775" s="52"/>
      <c r="AE2775" s="52"/>
      <c r="AF2775" s="52"/>
      <c r="AG2775" s="52"/>
      <c r="AH2775" s="52"/>
      <c r="AM2775" s="52"/>
      <c r="AN2775" s="52"/>
    </row>
    <row r="2776" spans="16:40" x14ac:dyDescent="0.2">
      <c r="P2776" s="52"/>
      <c r="Q2776" s="52"/>
      <c r="R2776" s="52"/>
      <c r="S2776" s="52"/>
      <c r="T2776" s="52"/>
      <c r="U2776" s="52"/>
      <c r="V2776" s="52"/>
      <c r="W2776" s="52"/>
      <c r="X2776" s="52"/>
      <c r="Y2776" s="52"/>
      <c r="Z2776" s="52"/>
      <c r="AA2776" s="52"/>
      <c r="AB2776" s="52"/>
      <c r="AC2776" s="52"/>
      <c r="AD2776" s="52"/>
      <c r="AE2776" s="52"/>
      <c r="AF2776" s="52"/>
      <c r="AG2776" s="52"/>
      <c r="AH2776" s="52"/>
      <c r="AM2776" s="52"/>
      <c r="AN2776" s="52"/>
    </row>
    <row r="2777" spans="16:40" x14ac:dyDescent="0.2">
      <c r="P2777" s="52"/>
      <c r="Q2777" s="52"/>
      <c r="R2777" s="52"/>
      <c r="S2777" s="52"/>
      <c r="T2777" s="52"/>
      <c r="U2777" s="52"/>
      <c r="V2777" s="52"/>
      <c r="W2777" s="52"/>
      <c r="X2777" s="52"/>
      <c r="Y2777" s="52"/>
      <c r="Z2777" s="52"/>
      <c r="AA2777" s="52"/>
      <c r="AB2777" s="52"/>
      <c r="AC2777" s="52"/>
      <c r="AD2777" s="52"/>
      <c r="AE2777" s="52"/>
      <c r="AF2777" s="52"/>
      <c r="AG2777" s="52"/>
      <c r="AH2777" s="52"/>
      <c r="AM2777" s="52"/>
      <c r="AN2777" s="52"/>
    </row>
    <row r="2778" spans="16:40" x14ac:dyDescent="0.2">
      <c r="P2778" s="52"/>
      <c r="Q2778" s="52"/>
      <c r="R2778" s="52"/>
      <c r="S2778" s="52"/>
      <c r="T2778" s="52"/>
      <c r="U2778" s="52"/>
      <c r="V2778" s="52"/>
      <c r="W2778" s="52"/>
      <c r="X2778" s="52"/>
      <c r="Y2778" s="52"/>
      <c r="Z2778" s="52"/>
      <c r="AA2778" s="52"/>
      <c r="AB2778" s="52"/>
      <c r="AC2778" s="52"/>
      <c r="AD2778" s="52"/>
      <c r="AE2778" s="52"/>
      <c r="AF2778" s="52"/>
      <c r="AG2778" s="52"/>
      <c r="AH2778" s="52"/>
      <c r="AM2778" s="52"/>
      <c r="AN2778" s="52"/>
    </row>
    <row r="2779" spans="16:40" x14ac:dyDescent="0.2">
      <c r="P2779" s="52"/>
      <c r="Q2779" s="52"/>
      <c r="R2779" s="52"/>
      <c r="S2779" s="52"/>
      <c r="T2779" s="52"/>
      <c r="U2779" s="52"/>
      <c r="V2779" s="52"/>
      <c r="W2779" s="52"/>
      <c r="X2779" s="52"/>
      <c r="Y2779" s="52"/>
      <c r="Z2779" s="52"/>
      <c r="AA2779" s="52"/>
      <c r="AB2779" s="52"/>
      <c r="AC2779" s="52"/>
      <c r="AD2779" s="52"/>
      <c r="AE2779" s="52"/>
      <c r="AF2779" s="52"/>
      <c r="AG2779" s="52"/>
      <c r="AH2779" s="52"/>
      <c r="AM2779" s="52"/>
      <c r="AN2779" s="52"/>
    </row>
    <row r="2780" spans="16:40" x14ac:dyDescent="0.2">
      <c r="P2780" s="52"/>
      <c r="Q2780" s="52"/>
      <c r="R2780" s="52"/>
      <c r="S2780" s="52"/>
      <c r="T2780" s="52"/>
      <c r="U2780" s="52"/>
      <c r="V2780" s="52"/>
      <c r="W2780" s="52"/>
      <c r="X2780" s="52"/>
      <c r="Y2780" s="52"/>
      <c r="Z2780" s="52"/>
      <c r="AA2780" s="52"/>
      <c r="AB2780" s="52"/>
      <c r="AC2780" s="52"/>
      <c r="AD2780" s="52"/>
      <c r="AE2780" s="52"/>
      <c r="AF2780" s="52"/>
      <c r="AG2780" s="52"/>
      <c r="AH2780" s="52"/>
      <c r="AM2780" s="52"/>
      <c r="AN2780" s="52"/>
    </row>
    <row r="2781" spans="16:40" x14ac:dyDescent="0.2">
      <c r="P2781" s="52"/>
      <c r="Q2781" s="52"/>
      <c r="R2781" s="52"/>
      <c r="S2781" s="52"/>
      <c r="T2781" s="52"/>
      <c r="U2781" s="52"/>
      <c r="V2781" s="52"/>
      <c r="W2781" s="52"/>
      <c r="X2781" s="52"/>
      <c r="Y2781" s="52"/>
      <c r="Z2781" s="52"/>
      <c r="AA2781" s="52"/>
      <c r="AB2781" s="52"/>
      <c r="AC2781" s="52"/>
      <c r="AD2781" s="52"/>
      <c r="AE2781" s="52"/>
      <c r="AF2781" s="52"/>
      <c r="AG2781" s="52"/>
      <c r="AH2781" s="52"/>
      <c r="AM2781" s="52"/>
      <c r="AN2781" s="52"/>
    </row>
    <row r="2782" spans="16:40" x14ac:dyDescent="0.2">
      <c r="P2782" s="52"/>
      <c r="Q2782" s="52"/>
      <c r="R2782" s="52"/>
      <c r="S2782" s="52"/>
      <c r="T2782" s="52"/>
      <c r="U2782" s="52"/>
      <c r="V2782" s="52"/>
      <c r="W2782" s="52"/>
      <c r="X2782" s="52"/>
      <c r="Y2782" s="52"/>
      <c r="Z2782" s="52"/>
      <c r="AA2782" s="52"/>
      <c r="AB2782" s="52"/>
      <c r="AC2782" s="52"/>
      <c r="AD2782" s="52"/>
      <c r="AE2782" s="52"/>
      <c r="AF2782" s="52"/>
      <c r="AG2782" s="52"/>
      <c r="AH2782" s="52"/>
      <c r="AM2782" s="52"/>
      <c r="AN2782" s="52"/>
    </row>
    <row r="2783" spans="16:40" x14ac:dyDescent="0.2">
      <c r="P2783" s="52"/>
      <c r="Q2783" s="52"/>
      <c r="R2783" s="52"/>
      <c r="S2783" s="52"/>
      <c r="T2783" s="52"/>
      <c r="U2783" s="52"/>
      <c r="V2783" s="52"/>
      <c r="W2783" s="52"/>
      <c r="X2783" s="52"/>
      <c r="Y2783" s="52"/>
      <c r="Z2783" s="52"/>
      <c r="AA2783" s="52"/>
      <c r="AB2783" s="52"/>
      <c r="AC2783" s="52"/>
      <c r="AD2783" s="52"/>
      <c r="AE2783" s="52"/>
      <c r="AF2783" s="52"/>
      <c r="AG2783" s="52"/>
      <c r="AH2783" s="52"/>
      <c r="AM2783" s="52"/>
      <c r="AN2783" s="52"/>
    </row>
    <row r="2784" spans="16:40" x14ac:dyDescent="0.2">
      <c r="P2784" s="52"/>
      <c r="Q2784" s="52"/>
      <c r="R2784" s="52"/>
      <c r="S2784" s="52"/>
      <c r="T2784" s="52"/>
      <c r="U2784" s="52"/>
      <c r="V2784" s="52"/>
      <c r="W2784" s="52"/>
      <c r="X2784" s="52"/>
      <c r="Y2784" s="52"/>
      <c r="Z2784" s="52"/>
      <c r="AA2784" s="52"/>
      <c r="AB2784" s="52"/>
      <c r="AC2784" s="52"/>
      <c r="AD2784" s="52"/>
      <c r="AE2784" s="52"/>
      <c r="AF2784" s="52"/>
      <c r="AG2784" s="52"/>
      <c r="AH2784" s="52"/>
      <c r="AM2784" s="52"/>
      <c r="AN2784" s="52"/>
    </row>
    <row r="2785" spans="16:40" x14ac:dyDescent="0.2">
      <c r="P2785" s="52"/>
      <c r="Q2785" s="52"/>
      <c r="R2785" s="52"/>
      <c r="S2785" s="52"/>
      <c r="T2785" s="52"/>
      <c r="U2785" s="52"/>
      <c r="V2785" s="52"/>
      <c r="W2785" s="52"/>
      <c r="X2785" s="52"/>
      <c r="Y2785" s="52"/>
      <c r="Z2785" s="52"/>
      <c r="AA2785" s="52"/>
      <c r="AB2785" s="52"/>
      <c r="AC2785" s="52"/>
      <c r="AD2785" s="52"/>
      <c r="AE2785" s="52"/>
      <c r="AF2785" s="52"/>
      <c r="AG2785" s="52"/>
      <c r="AH2785" s="52"/>
      <c r="AM2785" s="52"/>
      <c r="AN2785" s="52"/>
    </row>
    <row r="2786" spans="16:40" x14ac:dyDescent="0.2">
      <c r="P2786" s="52"/>
      <c r="Q2786" s="52"/>
      <c r="R2786" s="52"/>
      <c r="S2786" s="52"/>
      <c r="T2786" s="52"/>
      <c r="U2786" s="52"/>
      <c r="V2786" s="52"/>
      <c r="W2786" s="52"/>
      <c r="X2786" s="52"/>
      <c r="Y2786" s="52"/>
      <c r="Z2786" s="52"/>
      <c r="AA2786" s="52"/>
      <c r="AB2786" s="52"/>
      <c r="AC2786" s="52"/>
      <c r="AD2786" s="52"/>
      <c r="AE2786" s="52"/>
      <c r="AF2786" s="52"/>
      <c r="AG2786" s="52"/>
      <c r="AH2786" s="52"/>
      <c r="AM2786" s="52"/>
      <c r="AN2786" s="52"/>
    </row>
    <row r="2787" spans="16:40" x14ac:dyDescent="0.2">
      <c r="P2787" s="52"/>
      <c r="Q2787" s="52"/>
      <c r="R2787" s="52"/>
      <c r="S2787" s="52"/>
      <c r="T2787" s="52"/>
      <c r="U2787" s="52"/>
      <c r="V2787" s="52"/>
      <c r="W2787" s="52"/>
      <c r="X2787" s="52"/>
      <c r="Y2787" s="52"/>
      <c r="Z2787" s="52"/>
      <c r="AA2787" s="52"/>
      <c r="AB2787" s="52"/>
      <c r="AC2787" s="52"/>
      <c r="AD2787" s="52"/>
      <c r="AE2787" s="52"/>
      <c r="AF2787" s="52"/>
      <c r="AG2787" s="52"/>
      <c r="AH2787" s="52"/>
      <c r="AM2787" s="52"/>
      <c r="AN2787" s="52"/>
    </row>
    <row r="2788" spans="16:40" x14ac:dyDescent="0.2">
      <c r="P2788" s="52"/>
      <c r="Q2788" s="52"/>
      <c r="R2788" s="52"/>
      <c r="S2788" s="52"/>
      <c r="T2788" s="52"/>
      <c r="U2788" s="52"/>
      <c r="V2788" s="52"/>
      <c r="W2788" s="52"/>
      <c r="X2788" s="52"/>
      <c r="Y2788" s="52"/>
      <c r="Z2788" s="52"/>
      <c r="AA2788" s="52"/>
      <c r="AB2788" s="52"/>
      <c r="AC2788" s="52"/>
      <c r="AD2788" s="52"/>
      <c r="AE2788" s="52"/>
      <c r="AF2788" s="52"/>
      <c r="AG2788" s="52"/>
      <c r="AH2788" s="52"/>
      <c r="AM2788" s="52"/>
      <c r="AN2788" s="52"/>
    </row>
    <row r="2789" spans="16:40" x14ac:dyDescent="0.2">
      <c r="P2789" s="52"/>
      <c r="Q2789" s="52"/>
      <c r="R2789" s="52"/>
      <c r="S2789" s="52"/>
      <c r="T2789" s="52"/>
      <c r="U2789" s="52"/>
      <c r="V2789" s="52"/>
      <c r="W2789" s="52"/>
      <c r="X2789" s="52"/>
      <c r="Y2789" s="52"/>
      <c r="Z2789" s="52"/>
      <c r="AA2789" s="52"/>
      <c r="AB2789" s="52"/>
      <c r="AC2789" s="52"/>
      <c r="AD2789" s="52"/>
      <c r="AE2789" s="52"/>
      <c r="AF2789" s="52"/>
      <c r="AG2789" s="52"/>
      <c r="AH2789" s="52"/>
      <c r="AM2789" s="52"/>
      <c r="AN2789" s="52"/>
    </row>
    <row r="2790" spans="16:40" x14ac:dyDescent="0.2">
      <c r="P2790" s="52"/>
      <c r="Q2790" s="52"/>
      <c r="R2790" s="52"/>
      <c r="S2790" s="52"/>
      <c r="T2790" s="52"/>
      <c r="U2790" s="52"/>
      <c r="V2790" s="52"/>
      <c r="W2790" s="52"/>
      <c r="X2790" s="52"/>
      <c r="Y2790" s="52"/>
      <c r="Z2790" s="52"/>
      <c r="AA2790" s="52"/>
      <c r="AB2790" s="52"/>
      <c r="AC2790" s="52"/>
      <c r="AD2790" s="52"/>
      <c r="AE2790" s="52"/>
      <c r="AF2790" s="52"/>
      <c r="AG2790" s="52"/>
      <c r="AH2790" s="52"/>
      <c r="AM2790" s="52"/>
      <c r="AN2790" s="52"/>
    </row>
    <row r="2791" spans="16:40" x14ac:dyDescent="0.2">
      <c r="P2791" s="52"/>
      <c r="Q2791" s="52"/>
      <c r="R2791" s="52"/>
      <c r="S2791" s="52"/>
      <c r="T2791" s="52"/>
      <c r="U2791" s="52"/>
      <c r="V2791" s="52"/>
      <c r="W2791" s="52"/>
      <c r="X2791" s="52"/>
      <c r="Y2791" s="52"/>
      <c r="Z2791" s="52"/>
      <c r="AA2791" s="52"/>
      <c r="AB2791" s="52"/>
      <c r="AC2791" s="52"/>
      <c r="AD2791" s="52"/>
      <c r="AE2791" s="52"/>
      <c r="AF2791" s="52"/>
      <c r="AG2791" s="52"/>
      <c r="AH2791" s="52"/>
      <c r="AM2791" s="52"/>
      <c r="AN2791" s="52"/>
    </row>
    <row r="2792" spans="16:40" x14ac:dyDescent="0.2">
      <c r="P2792" s="52"/>
      <c r="Q2792" s="52"/>
      <c r="R2792" s="52"/>
      <c r="S2792" s="52"/>
      <c r="T2792" s="52"/>
      <c r="U2792" s="52"/>
      <c r="V2792" s="52"/>
      <c r="W2792" s="52"/>
      <c r="X2792" s="52"/>
      <c r="Y2792" s="52"/>
      <c r="Z2792" s="52"/>
      <c r="AA2792" s="52"/>
      <c r="AB2792" s="52"/>
      <c r="AC2792" s="52"/>
      <c r="AD2792" s="52"/>
      <c r="AE2792" s="52"/>
      <c r="AF2792" s="52"/>
      <c r="AG2792" s="52"/>
      <c r="AH2792" s="52"/>
      <c r="AM2792" s="52"/>
      <c r="AN2792" s="52"/>
    </row>
    <row r="2793" spans="16:40" x14ac:dyDescent="0.2">
      <c r="P2793" s="52"/>
      <c r="Q2793" s="52"/>
      <c r="R2793" s="52"/>
      <c r="S2793" s="52"/>
      <c r="T2793" s="52"/>
      <c r="U2793" s="52"/>
      <c r="V2793" s="52"/>
      <c r="W2793" s="52"/>
      <c r="X2793" s="52"/>
      <c r="Y2793" s="52"/>
      <c r="Z2793" s="52"/>
      <c r="AA2793" s="52"/>
      <c r="AB2793" s="52"/>
      <c r="AC2793" s="52"/>
      <c r="AD2793" s="52"/>
      <c r="AE2793" s="52"/>
      <c r="AF2793" s="52"/>
      <c r="AG2793" s="52"/>
      <c r="AH2793" s="52"/>
      <c r="AM2793" s="52"/>
      <c r="AN2793" s="52"/>
    </row>
    <row r="2794" spans="16:40" x14ac:dyDescent="0.2">
      <c r="P2794" s="52"/>
      <c r="Q2794" s="52"/>
      <c r="R2794" s="52"/>
      <c r="S2794" s="52"/>
      <c r="T2794" s="52"/>
      <c r="U2794" s="52"/>
      <c r="V2794" s="52"/>
      <c r="W2794" s="52"/>
      <c r="X2794" s="52"/>
      <c r="Y2794" s="52"/>
      <c r="Z2794" s="52"/>
      <c r="AA2794" s="52"/>
      <c r="AB2794" s="52"/>
      <c r="AC2794" s="52"/>
      <c r="AD2794" s="52"/>
      <c r="AE2794" s="52"/>
      <c r="AF2794" s="52"/>
      <c r="AG2794" s="52"/>
      <c r="AH2794" s="52"/>
      <c r="AM2794" s="52"/>
      <c r="AN2794" s="52"/>
    </row>
    <row r="2795" spans="16:40" x14ac:dyDescent="0.2">
      <c r="P2795" s="52"/>
      <c r="Q2795" s="52"/>
      <c r="R2795" s="52"/>
      <c r="S2795" s="52"/>
      <c r="T2795" s="52"/>
      <c r="U2795" s="52"/>
      <c r="V2795" s="52"/>
      <c r="W2795" s="52"/>
      <c r="X2795" s="52"/>
      <c r="Y2795" s="52"/>
      <c r="Z2795" s="52"/>
      <c r="AA2795" s="52"/>
      <c r="AB2795" s="52"/>
      <c r="AC2795" s="52"/>
      <c r="AD2795" s="52"/>
      <c r="AE2795" s="52"/>
      <c r="AF2795" s="52"/>
      <c r="AG2795" s="52"/>
      <c r="AH2795" s="52"/>
      <c r="AM2795" s="52"/>
      <c r="AN2795" s="52"/>
    </row>
    <row r="2796" spans="16:40" x14ac:dyDescent="0.2"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2"/>
      <c r="AA2796" s="52"/>
      <c r="AB2796" s="52"/>
      <c r="AC2796" s="52"/>
      <c r="AD2796" s="52"/>
      <c r="AE2796" s="52"/>
      <c r="AF2796" s="52"/>
      <c r="AG2796" s="52"/>
      <c r="AH2796" s="52"/>
      <c r="AM2796" s="52"/>
      <c r="AN2796" s="52"/>
    </row>
    <row r="2797" spans="16:40" x14ac:dyDescent="0.2">
      <c r="P2797" s="52"/>
      <c r="Q2797" s="52"/>
      <c r="R2797" s="52"/>
      <c r="S2797" s="52"/>
      <c r="T2797" s="52"/>
      <c r="U2797" s="52"/>
      <c r="V2797" s="52"/>
      <c r="W2797" s="52"/>
      <c r="X2797" s="52"/>
      <c r="Y2797" s="52"/>
      <c r="Z2797" s="52"/>
      <c r="AA2797" s="52"/>
      <c r="AB2797" s="52"/>
      <c r="AC2797" s="52"/>
      <c r="AD2797" s="52"/>
      <c r="AE2797" s="52"/>
      <c r="AF2797" s="52"/>
      <c r="AG2797" s="52"/>
      <c r="AH2797" s="52"/>
      <c r="AM2797" s="52"/>
      <c r="AN2797" s="52"/>
    </row>
    <row r="2798" spans="16:40" x14ac:dyDescent="0.2">
      <c r="P2798" s="52"/>
      <c r="Q2798" s="52"/>
      <c r="R2798" s="52"/>
      <c r="S2798" s="52"/>
      <c r="T2798" s="52"/>
      <c r="U2798" s="52"/>
      <c r="V2798" s="52"/>
      <c r="W2798" s="52"/>
      <c r="X2798" s="52"/>
      <c r="Y2798" s="52"/>
      <c r="Z2798" s="52"/>
      <c r="AA2798" s="52"/>
      <c r="AB2798" s="52"/>
      <c r="AC2798" s="52"/>
      <c r="AD2798" s="52"/>
      <c r="AE2798" s="52"/>
      <c r="AF2798" s="52"/>
      <c r="AG2798" s="52"/>
      <c r="AH2798" s="52"/>
      <c r="AM2798" s="52"/>
      <c r="AN2798" s="52"/>
    </row>
    <row r="2799" spans="16:40" x14ac:dyDescent="0.2">
      <c r="P2799" s="52"/>
      <c r="Q2799" s="52"/>
      <c r="R2799" s="52"/>
      <c r="S2799" s="52"/>
      <c r="T2799" s="52"/>
      <c r="U2799" s="52"/>
      <c r="V2799" s="52"/>
      <c r="W2799" s="52"/>
      <c r="X2799" s="52"/>
      <c r="Y2799" s="52"/>
      <c r="Z2799" s="52"/>
      <c r="AA2799" s="52"/>
      <c r="AB2799" s="52"/>
      <c r="AC2799" s="52"/>
      <c r="AD2799" s="52"/>
      <c r="AE2799" s="52"/>
      <c r="AF2799" s="52"/>
      <c r="AG2799" s="52"/>
      <c r="AH2799" s="52"/>
      <c r="AM2799" s="52"/>
      <c r="AN2799" s="52"/>
    </row>
    <row r="2800" spans="16:40" x14ac:dyDescent="0.2">
      <c r="P2800" s="52"/>
      <c r="Q2800" s="52"/>
      <c r="R2800" s="52"/>
      <c r="S2800" s="52"/>
      <c r="T2800" s="52"/>
      <c r="U2800" s="52"/>
      <c r="V2800" s="52"/>
      <c r="W2800" s="52"/>
      <c r="X2800" s="52"/>
      <c r="Y2800" s="52"/>
      <c r="Z2800" s="52"/>
      <c r="AA2800" s="52"/>
      <c r="AB2800" s="52"/>
      <c r="AC2800" s="52"/>
      <c r="AD2800" s="52"/>
      <c r="AE2800" s="52"/>
      <c r="AF2800" s="52"/>
      <c r="AG2800" s="52"/>
      <c r="AH2800" s="52"/>
      <c r="AM2800" s="52"/>
      <c r="AN2800" s="52"/>
    </row>
    <row r="2801" spans="16:40" x14ac:dyDescent="0.2">
      <c r="P2801" s="52"/>
      <c r="Q2801" s="52"/>
      <c r="R2801" s="52"/>
      <c r="S2801" s="52"/>
      <c r="T2801" s="52"/>
      <c r="U2801" s="52"/>
      <c r="V2801" s="52"/>
      <c r="W2801" s="52"/>
      <c r="X2801" s="52"/>
      <c r="Y2801" s="52"/>
      <c r="Z2801" s="52"/>
      <c r="AA2801" s="52"/>
      <c r="AB2801" s="52"/>
      <c r="AC2801" s="52"/>
      <c r="AD2801" s="52"/>
      <c r="AE2801" s="52"/>
      <c r="AF2801" s="52"/>
      <c r="AG2801" s="52"/>
      <c r="AH2801" s="52"/>
      <c r="AM2801" s="52"/>
      <c r="AN2801" s="52"/>
    </row>
    <row r="2802" spans="16:40" x14ac:dyDescent="0.2">
      <c r="P2802" s="52"/>
      <c r="Q2802" s="52"/>
      <c r="R2802" s="52"/>
      <c r="S2802" s="52"/>
      <c r="T2802" s="52"/>
      <c r="U2802" s="52"/>
      <c r="V2802" s="52"/>
      <c r="W2802" s="52"/>
      <c r="X2802" s="52"/>
      <c r="Y2802" s="52"/>
      <c r="Z2802" s="52"/>
      <c r="AA2802" s="52"/>
      <c r="AB2802" s="52"/>
      <c r="AC2802" s="52"/>
      <c r="AD2802" s="52"/>
      <c r="AE2802" s="52"/>
      <c r="AF2802" s="52"/>
      <c r="AG2802" s="52"/>
      <c r="AH2802" s="52"/>
      <c r="AM2802" s="52"/>
      <c r="AN2802" s="52"/>
    </row>
    <row r="2803" spans="16:40" x14ac:dyDescent="0.2">
      <c r="P2803" s="52"/>
      <c r="Q2803" s="52"/>
      <c r="R2803" s="52"/>
      <c r="S2803" s="52"/>
      <c r="T2803" s="52"/>
      <c r="U2803" s="52"/>
      <c r="V2803" s="52"/>
      <c r="W2803" s="52"/>
      <c r="X2803" s="52"/>
      <c r="Y2803" s="52"/>
      <c r="Z2803" s="52"/>
      <c r="AA2803" s="52"/>
      <c r="AB2803" s="52"/>
      <c r="AC2803" s="52"/>
      <c r="AD2803" s="52"/>
      <c r="AE2803" s="52"/>
      <c r="AF2803" s="52"/>
      <c r="AG2803" s="52"/>
      <c r="AH2803" s="52"/>
      <c r="AM2803" s="52"/>
      <c r="AN2803" s="52"/>
    </row>
    <row r="2804" spans="16:40" x14ac:dyDescent="0.2">
      <c r="P2804" s="52"/>
      <c r="Q2804" s="52"/>
      <c r="R2804" s="52"/>
      <c r="S2804" s="52"/>
      <c r="T2804" s="52"/>
      <c r="U2804" s="52"/>
      <c r="V2804" s="52"/>
      <c r="W2804" s="52"/>
      <c r="X2804" s="52"/>
      <c r="Y2804" s="52"/>
      <c r="Z2804" s="52"/>
      <c r="AA2804" s="52"/>
      <c r="AB2804" s="52"/>
      <c r="AC2804" s="52"/>
      <c r="AD2804" s="52"/>
      <c r="AE2804" s="52"/>
      <c r="AF2804" s="52"/>
      <c r="AG2804" s="52"/>
      <c r="AH2804" s="52"/>
      <c r="AM2804" s="52"/>
      <c r="AN2804" s="52"/>
    </row>
    <row r="2805" spans="16:40" x14ac:dyDescent="0.2">
      <c r="P2805" s="52"/>
      <c r="Q2805" s="52"/>
      <c r="R2805" s="52"/>
      <c r="S2805" s="52"/>
      <c r="T2805" s="52"/>
      <c r="U2805" s="52"/>
      <c r="V2805" s="52"/>
      <c r="W2805" s="52"/>
      <c r="X2805" s="52"/>
      <c r="Y2805" s="52"/>
      <c r="Z2805" s="52"/>
      <c r="AA2805" s="52"/>
      <c r="AB2805" s="52"/>
      <c r="AC2805" s="52"/>
      <c r="AD2805" s="52"/>
      <c r="AE2805" s="52"/>
      <c r="AF2805" s="52"/>
      <c r="AG2805" s="52"/>
      <c r="AH2805" s="52"/>
      <c r="AM2805" s="52"/>
      <c r="AN2805" s="52"/>
    </row>
    <row r="2806" spans="16:40" x14ac:dyDescent="0.2">
      <c r="P2806" s="52"/>
      <c r="Q2806" s="52"/>
      <c r="R2806" s="52"/>
      <c r="S2806" s="52"/>
      <c r="T2806" s="52"/>
      <c r="U2806" s="52"/>
      <c r="V2806" s="52"/>
      <c r="W2806" s="52"/>
      <c r="X2806" s="52"/>
      <c r="Y2806" s="52"/>
      <c r="Z2806" s="52"/>
      <c r="AA2806" s="52"/>
      <c r="AB2806" s="52"/>
      <c r="AC2806" s="52"/>
      <c r="AD2806" s="52"/>
      <c r="AE2806" s="52"/>
      <c r="AF2806" s="52"/>
      <c r="AG2806" s="52"/>
      <c r="AH2806" s="52"/>
      <c r="AM2806" s="52"/>
      <c r="AN2806" s="52"/>
    </row>
    <row r="2807" spans="16:40" x14ac:dyDescent="0.2">
      <c r="P2807" s="52"/>
      <c r="Q2807" s="52"/>
      <c r="R2807" s="52"/>
      <c r="S2807" s="52"/>
      <c r="T2807" s="52"/>
      <c r="U2807" s="52"/>
      <c r="V2807" s="52"/>
      <c r="W2807" s="52"/>
      <c r="X2807" s="52"/>
      <c r="Y2807" s="52"/>
      <c r="Z2807" s="52"/>
      <c r="AA2807" s="52"/>
      <c r="AB2807" s="52"/>
      <c r="AC2807" s="52"/>
      <c r="AD2807" s="52"/>
      <c r="AE2807" s="52"/>
      <c r="AF2807" s="52"/>
      <c r="AG2807" s="52"/>
      <c r="AH2807" s="52"/>
      <c r="AM2807" s="52"/>
      <c r="AN2807" s="52"/>
    </row>
    <row r="2808" spans="16:40" x14ac:dyDescent="0.2">
      <c r="P2808" s="52"/>
      <c r="Q2808" s="52"/>
      <c r="R2808" s="52"/>
      <c r="S2808" s="52"/>
      <c r="T2808" s="52"/>
      <c r="U2808" s="52"/>
      <c r="V2808" s="52"/>
      <c r="W2808" s="52"/>
      <c r="X2808" s="52"/>
      <c r="Y2808" s="52"/>
      <c r="Z2808" s="52"/>
      <c r="AA2808" s="52"/>
      <c r="AB2808" s="52"/>
      <c r="AC2808" s="52"/>
      <c r="AD2808" s="52"/>
      <c r="AE2808" s="52"/>
      <c r="AF2808" s="52"/>
      <c r="AG2808" s="52"/>
      <c r="AH2808" s="52"/>
      <c r="AM2808" s="52"/>
      <c r="AN2808" s="52"/>
    </row>
    <row r="2809" spans="16:40" x14ac:dyDescent="0.2">
      <c r="P2809" s="52"/>
      <c r="Q2809" s="52"/>
      <c r="R2809" s="52"/>
      <c r="S2809" s="52"/>
      <c r="T2809" s="52"/>
      <c r="U2809" s="52"/>
      <c r="V2809" s="52"/>
      <c r="W2809" s="52"/>
      <c r="X2809" s="52"/>
      <c r="Y2809" s="52"/>
      <c r="Z2809" s="52"/>
      <c r="AA2809" s="52"/>
      <c r="AB2809" s="52"/>
      <c r="AC2809" s="52"/>
      <c r="AD2809" s="52"/>
      <c r="AE2809" s="52"/>
      <c r="AF2809" s="52"/>
      <c r="AG2809" s="52"/>
      <c r="AH2809" s="52"/>
      <c r="AM2809" s="52"/>
      <c r="AN2809" s="52"/>
    </row>
    <row r="2810" spans="16:40" x14ac:dyDescent="0.2">
      <c r="P2810" s="52"/>
      <c r="Q2810" s="52"/>
      <c r="R2810" s="52"/>
      <c r="S2810" s="52"/>
      <c r="T2810" s="52"/>
      <c r="U2810" s="52"/>
      <c r="V2810" s="52"/>
      <c r="W2810" s="52"/>
      <c r="X2810" s="52"/>
      <c r="Y2810" s="52"/>
      <c r="Z2810" s="52"/>
      <c r="AA2810" s="52"/>
      <c r="AB2810" s="52"/>
      <c r="AC2810" s="52"/>
      <c r="AD2810" s="52"/>
      <c r="AE2810" s="52"/>
      <c r="AF2810" s="52"/>
      <c r="AG2810" s="52"/>
      <c r="AH2810" s="52"/>
      <c r="AM2810" s="52"/>
      <c r="AN2810" s="52"/>
    </row>
    <row r="2811" spans="16:40" x14ac:dyDescent="0.2">
      <c r="P2811" s="52"/>
      <c r="Q2811" s="52"/>
      <c r="R2811" s="52"/>
      <c r="S2811" s="52"/>
      <c r="T2811" s="52"/>
      <c r="U2811" s="52"/>
      <c r="V2811" s="52"/>
      <c r="W2811" s="52"/>
      <c r="X2811" s="52"/>
      <c r="Y2811" s="52"/>
      <c r="Z2811" s="52"/>
      <c r="AA2811" s="52"/>
      <c r="AB2811" s="52"/>
      <c r="AC2811" s="52"/>
      <c r="AD2811" s="52"/>
      <c r="AE2811" s="52"/>
      <c r="AF2811" s="52"/>
      <c r="AG2811" s="52"/>
      <c r="AH2811" s="52"/>
      <c r="AM2811" s="52"/>
      <c r="AN2811" s="52"/>
    </row>
    <row r="2812" spans="16:40" x14ac:dyDescent="0.2">
      <c r="P2812" s="52"/>
      <c r="Q2812" s="52"/>
      <c r="R2812" s="52"/>
      <c r="S2812" s="52"/>
      <c r="T2812" s="52"/>
      <c r="U2812" s="52"/>
      <c r="V2812" s="52"/>
      <c r="W2812" s="52"/>
      <c r="X2812" s="52"/>
      <c r="Y2812" s="52"/>
      <c r="Z2812" s="52"/>
      <c r="AA2812" s="52"/>
      <c r="AB2812" s="52"/>
      <c r="AC2812" s="52"/>
      <c r="AD2812" s="52"/>
      <c r="AE2812" s="52"/>
      <c r="AF2812" s="52"/>
      <c r="AG2812" s="52"/>
      <c r="AH2812" s="52"/>
      <c r="AM2812" s="52"/>
      <c r="AN2812" s="52"/>
    </row>
    <row r="2813" spans="16:40" x14ac:dyDescent="0.2">
      <c r="P2813" s="52"/>
      <c r="Q2813" s="52"/>
      <c r="R2813" s="52"/>
      <c r="S2813" s="52"/>
      <c r="T2813" s="52"/>
      <c r="U2813" s="52"/>
      <c r="V2813" s="52"/>
      <c r="W2813" s="52"/>
      <c r="X2813" s="52"/>
      <c r="Y2813" s="52"/>
      <c r="Z2813" s="52"/>
      <c r="AA2813" s="52"/>
      <c r="AB2813" s="52"/>
      <c r="AC2813" s="52"/>
      <c r="AD2813" s="52"/>
      <c r="AE2813" s="52"/>
      <c r="AF2813" s="52"/>
      <c r="AG2813" s="52"/>
      <c r="AH2813" s="52"/>
      <c r="AM2813" s="52"/>
      <c r="AN2813" s="52"/>
    </row>
    <row r="2814" spans="16:40" x14ac:dyDescent="0.2">
      <c r="P2814" s="52"/>
      <c r="Q2814" s="52"/>
      <c r="R2814" s="52"/>
      <c r="S2814" s="52"/>
      <c r="T2814" s="52"/>
      <c r="U2814" s="52"/>
      <c r="V2814" s="52"/>
      <c r="W2814" s="52"/>
      <c r="X2814" s="52"/>
      <c r="Y2814" s="52"/>
      <c r="Z2814" s="52"/>
      <c r="AA2814" s="52"/>
      <c r="AB2814" s="52"/>
      <c r="AC2814" s="52"/>
      <c r="AD2814" s="52"/>
      <c r="AE2814" s="52"/>
      <c r="AF2814" s="52"/>
      <c r="AG2814" s="52"/>
      <c r="AH2814" s="52"/>
      <c r="AM2814" s="52"/>
      <c r="AN2814" s="52"/>
    </row>
    <row r="2815" spans="16:40" x14ac:dyDescent="0.2">
      <c r="P2815" s="52"/>
      <c r="Q2815" s="52"/>
      <c r="R2815" s="52"/>
      <c r="S2815" s="52"/>
      <c r="T2815" s="52"/>
      <c r="U2815" s="52"/>
      <c r="V2815" s="52"/>
      <c r="W2815" s="52"/>
      <c r="X2815" s="52"/>
      <c r="Y2815" s="52"/>
      <c r="Z2815" s="52"/>
      <c r="AA2815" s="52"/>
      <c r="AB2815" s="52"/>
      <c r="AC2815" s="52"/>
      <c r="AD2815" s="52"/>
      <c r="AE2815" s="52"/>
      <c r="AF2815" s="52"/>
      <c r="AG2815" s="52"/>
      <c r="AH2815" s="52"/>
      <c r="AM2815" s="52"/>
      <c r="AN2815" s="52"/>
    </row>
    <row r="2816" spans="16:40" x14ac:dyDescent="0.2">
      <c r="P2816" s="52"/>
      <c r="Q2816" s="52"/>
      <c r="R2816" s="52"/>
      <c r="S2816" s="52"/>
      <c r="T2816" s="52"/>
      <c r="U2816" s="52"/>
      <c r="V2816" s="52"/>
      <c r="W2816" s="52"/>
      <c r="X2816" s="52"/>
      <c r="Y2816" s="52"/>
      <c r="Z2816" s="52"/>
      <c r="AA2816" s="52"/>
      <c r="AB2816" s="52"/>
      <c r="AC2816" s="52"/>
      <c r="AD2816" s="52"/>
      <c r="AE2816" s="52"/>
      <c r="AF2816" s="52"/>
      <c r="AG2816" s="52"/>
      <c r="AH2816" s="52"/>
      <c r="AM2816" s="52"/>
      <c r="AN2816" s="52"/>
    </row>
    <row r="2817" spans="16:40" x14ac:dyDescent="0.2">
      <c r="P2817" s="52"/>
      <c r="Q2817" s="52"/>
      <c r="R2817" s="52"/>
      <c r="S2817" s="52"/>
      <c r="T2817" s="52"/>
      <c r="U2817" s="52"/>
      <c r="V2817" s="52"/>
      <c r="W2817" s="52"/>
      <c r="X2817" s="52"/>
      <c r="Y2817" s="52"/>
      <c r="Z2817" s="52"/>
      <c r="AA2817" s="52"/>
      <c r="AB2817" s="52"/>
      <c r="AC2817" s="52"/>
      <c r="AD2817" s="52"/>
      <c r="AE2817" s="52"/>
      <c r="AF2817" s="52"/>
      <c r="AG2817" s="52"/>
      <c r="AH2817" s="52"/>
      <c r="AM2817" s="52"/>
      <c r="AN2817" s="52"/>
    </row>
    <row r="2818" spans="16:40" x14ac:dyDescent="0.2">
      <c r="P2818" s="52"/>
      <c r="Q2818" s="52"/>
      <c r="R2818" s="52"/>
      <c r="S2818" s="52"/>
      <c r="T2818" s="52"/>
      <c r="U2818" s="52"/>
      <c r="V2818" s="52"/>
      <c r="W2818" s="52"/>
      <c r="X2818" s="52"/>
      <c r="Y2818" s="52"/>
      <c r="Z2818" s="52"/>
      <c r="AA2818" s="52"/>
      <c r="AB2818" s="52"/>
      <c r="AC2818" s="52"/>
      <c r="AD2818" s="52"/>
      <c r="AE2818" s="52"/>
      <c r="AF2818" s="52"/>
      <c r="AG2818" s="52"/>
      <c r="AH2818" s="52"/>
      <c r="AM2818" s="52"/>
      <c r="AN2818" s="52"/>
    </row>
    <row r="2819" spans="16:40" x14ac:dyDescent="0.2">
      <c r="P2819" s="52"/>
      <c r="Q2819" s="52"/>
      <c r="R2819" s="52"/>
      <c r="S2819" s="52"/>
      <c r="T2819" s="52"/>
      <c r="U2819" s="52"/>
      <c r="V2819" s="52"/>
      <c r="W2819" s="52"/>
      <c r="X2819" s="52"/>
      <c r="Y2819" s="52"/>
      <c r="Z2819" s="52"/>
      <c r="AA2819" s="52"/>
      <c r="AB2819" s="52"/>
      <c r="AC2819" s="52"/>
      <c r="AD2819" s="52"/>
      <c r="AE2819" s="52"/>
      <c r="AF2819" s="52"/>
      <c r="AG2819" s="52"/>
      <c r="AH2819" s="52"/>
      <c r="AM2819" s="52"/>
      <c r="AN2819" s="52"/>
    </row>
    <row r="2820" spans="16:40" x14ac:dyDescent="0.2">
      <c r="P2820" s="52"/>
      <c r="Q2820" s="52"/>
      <c r="R2820" s="52"/>
      <c r="S2820" s="52"/>
      <c r="T2820" s="52"/>
      <c r="U2820" s="52"/>
      <c r="V2820" s="52"/>
      <c r="W2820" s="52"/>
      <c r="X2820" s="52"/>
      <c r="Y2820" s="52"/>
      <c r="Z2820" s="52"/>
      <c r="AA2820" s="52"/>
      <c r="AB2820" s="52"/>
      <c r="AC2820" s="52"/>
      <c r="AD2820" s="52"/>
      <c r="AE2820" s="52"/>
      <c r="AF2820" s="52"/>
      <c r="AG2820" s="52"/>
      <c r="AH2820" s="52"/>
      <c r="AM2820" s="52"/>
      <c r="AN2820" s="52"/>
    </row>
    <row r="2821" spans="16:40" x14ac:dyDescent="0.2">
      <c r="P2821" s="52"/>
      <c r="Q2821" s="52"/>
      <c r="R2821" s="52"/>
      <c r="S2821" s="52"/>
      <c r="T2821" s="52"/>
      <c r="U2821" s="52"/>
      <c r="V2821" s="52"/>
      <c r="W2821" s="52"/>
      <c r="X2821" s="52"/>
      <c r="Y2821" s="52"/>
      <c r="Z2821" s="52"/>
      <c r="AA2821" s="52"/>
      <c r="AB2821" s="52"/>
      <c r="AC2821" s="52"/>
      <c r="AD2821" s="52"/>
      <c r="AE2821" s="52"/>
      <c r="AF2821" s="52"/>
      <c r="AG2821" s="52"/>
      <c r="AH2821" s="52"/>
      <c r="AM2821" s="52"/>
      <c r="AN2821" s="52"/>
    </row>
    <row r="2822" spans="16:40" x14ac:dyDescent="0.2">
      <c r="P2822" s="52"/>
      <c r="Q2822" s="52"/>
      <c r="R2822" s="52"/>
      <c r="S2822" s="52"/>
      <c r="T2822" s="52"/>
      <c r="U2822" s="52"/>
      <c r="V2822" s="52"/>
      <c r="W2822" s="52"/>
      <c r="X2822" s="52"/>
      <c r="Y2822" s="52"/>
      <c r="Z2822" s="52"/>
      <c r="AA2822" s="52"/>
      <c r="AB2822" s="52"/>
      <c r="AC2822" s="52"/>
      <c r="AD2822" s="52"/>
      <c r="AE2822" s="52"/>
      <c r="AF2822" s="52"/>
      <c r="AG2822" s="52"/>
      <c r="AH2822" s="52"/>
      <c r="AM2822" s="52"/>
      <c r="AN2822" s="52"/>
    </row>
    <row r="2823" spans="16:40" x14ac:dyDescent="0.2">
      <c r="P2823" s="52"/>
      <c r="Q2823" s="52"/>
      <c r="R2823" s="52"/>
      <c r="S2823" s="52"/>
      <c r="T2823" s="52"/>
      <c r="U2823" s="52"/>
      <c r="V2823" s="52"/>
      <c r="W2823" s="52"/>
      <c r="X2823" s="52"/>
      <c r="Y2823" s="52"/>
      <c r="Z2823" s="52"/>
      <c r="AA2823" s="52"/>
      <c r="AB2823" s="52"/>
      <c r="AC2823" s="52"/>
      <c r="AD2823" s="52"/>
      <c r="AE2823" s="52"/>
      <c r="AF2823" s="52"/>
      <c r="AG2823" s="52"/>
      <c r="AH2823" s="52"/>
      <c r="AM2823" s="52"/>
      <c r="AN2823" s="52"/>
    </row>
    <row r="2824" spans="16:40" x14ac:dyDescent="0.2">
      <c r="P2824" s="52"/>
      <c r="Q2824" s="52"/>
      <c r="R2824" s="52"/>
      <c r="S2824" s="52"/>
      <c r="T2824" s="52"/>
      <c r="U2824" s="52"/>
      <c r="V2824" s="52"/>
      <c r="W2824" s="52"/>
      <c r="X2824" s="52"/>
      <c r="Y2824" s="52"/>
      <c r="Z2824" s="52"/>
      <c r="AA2824" s="52"/>
      <c r="AB2824" s="52"/>
      <c r="AC2824" s="52"/>
      <c r="AD2824" s="52"/>
      <c r="AE2824" s="52"/>
      <c r="AF2824" s="52"/>
      <c r="AG2824" s="52"/>
      <c r="AH2824" s="52"/>
      <c r="AM2824" s="52"/>
      <c r="AN2824" s="52"/>
    </row>
    <row r="2825" spans="16:40" x14ac:dyDescent="0.2">
      <c r="P2825" s="52"/>
      <c r="Q2825" s="52"/>
      <c r="R2825" s="52"/>
      <c r="S2825" s="52"/>
      <c r="T2825" s="52"/>
      <c r="U2825" s="52"/>
      <c r="V2825" s="52"/>
      <c r="W2825" s="52"/>
      <c r="X2825" s="52"/>
      <c r="Y2825" s="52"/>
      <c r="Z2825" s="52"/>
      <c r="AA2825" s="52"/>
      <c r="AB2825" s="52"/>
      <c r="AC2825" s="52"/>
      <c r="AD2825" s="52"/>
      <c r="AE2825" s="52"/>
      <c r="AF2825" s="52"/>
      <c r="AG2825" s="52"/>
      <c r="AH2825" s="52"/>
      <c r="AM2825" s="52"/>
      <c r="AN2825" s="52"/>
    </row>
    <row r="2826" spans="16:40" x14ac:dyDescent="0.2">
      <c r="P2826" s="52"/>
      <c r="Q2826" s="52"/>
      <c r="R2826" s="52"/>
      <c r="S2826" s="52"/>
      <c r="T2826" s="52"/>
      <c r="U2826" s="52"/>
      <c r="V2826" s="52"/>
      <c r="W2826" s="52"/>
      <c r="X2826" s="52"/>
      <c r="Y2826" s="52"/>
      <c r="Z2826" s="52"/>
      <c r="AA2826" s="52"/>
      <c r="AB2826" s="52"/>
      <c r="AC2826" s="52"/>
      <c r="AD2826" s="52"/>
      <c r="AE2826" s="52"/>
      <c r="AF2826" s="52"/>
      <c r="AG2826" s="52"/>
      <c r="AH2826" s="52"/>
      <c r="AM2826" s="52"/>
      <c r="AN2826" s="52"/>
    </row>
    <row r="2827" spans="16:40" x14ac:dyDescent="0.2">
      <c r="P2827" s="52"/>
      <c r="Q2827" s="52"/>
      <c r="R2827" s="52"/>
      <c r="S2827" s="52"/>
      <c r="T2827" s="52"/>
      <c r="U2827" s="52"/>
      <c r="V2827" s="52"/>
      <c r="W2827" s="52"/>
      <c r="X2827" s="52"/>
      <c r="Y2827" s="52"/>
      <c r="Z2827" s="52"/>
      <c r="AA2827" s="52"/>
      <c r="AB2827" s="52"/>
      <c r="AC2827" s="52"/>
      <c r="AD2827" s="52"/>
      <c r="AE2827" s="52"/>
      <c r="AF2827" s="52"/>
      <c r="AG2827" s="52"/>
      <c r="AH2827" s="52"/>
      <c r="AM2827" s="52"/>
      <c r="AN2827" s="52"/>
    </row>
    <row r="2828" spans="16:40" x14ac:dyDescent="0.2">
      <c r="P2828" s="52"/>
      <c r="Q2828" s="52"/>
      <c r="R2828" s="52"/>
      <c r="S2828" s="52"/>
      <c r="T2828" s="52"/>
      <c r="U2828" s="52"/>
      <c r="V2828" s="52"/>
      <c r="W2828" s="52"/>
      <c r="X2828" s="52"/>
      <c r="Y2828" s="52"/>
      <c r="Z2828" s="52"/>
      <c r="AA2828" s="52"/>
      <c r="AB2828" s="52"/>
      <c r="AC2828" s="52"/>
      <c r="AD2828" s="52"/>
      <c r="AE2828" s="52"/>
      <c r="AF2828" s="52"/>
      <c r="AG2828" s="52"/>
      <c r="AH2828" s="52"/>
      <c r="AM2828" s="52"/>
      <c r="AN2828" s="52"/>
    </row>
    <row r="2829" spans="16:40" x14ac:dyDescent="0.2">
      <c r="P2829" s="52"/>
      <c r="Q2829" s="52"/>
      <c r="R2829" s="52"/>
      <c r="S2829" s="52"/>
      <c r="T2829" s="52"/>
      <c r="U2829" s="52"/>
      <c r="V2829" s="52"/>
      <c r="W2829" s="52"/>
      <c r="X2829" s="52"/>
      <c r="Y2829" s="52"/>
      <c r="Z2829" s="52"/>
      <c r="AA2829" s="52"/>
      <c r="AB2829" s="52"/>
      <c r="AC2829" s="52"/>
      <c r="AD2829" s="52"/>
      <c r="AE2829" s="52"/>
      <c r="AF2829" s="52"/>
      <c r="AG2829" s="52"/>
      <c r="AH2829" s="52"/>
      <c r="AM2829" s="52"/>
      <c r="AN2829" s="52"/>
    </row>
    <row r="2830" spans="16:40" x14ac:dyDescent="0.2">
      <c r="P2830" s="52"/>
      <c r="Q2830" s="52"/>
      <c r="R2830" s="52"/>
      <c r="S2830" s="52"/>
      <c r="T2830" s="52"/>
      <c r="U2830" s="52"/>
      <c r="V2830" s="52"/>
      <c r="W2830" s="52"/>
      <c r="X2830" s="52"/>
      <c r="Y2830" s="52"/>
      <c r="Z2830" s="52"/>
      <c r="AA2830" s="52"/>
      <c r="AB2830" s="52"/>
      <c r="AC2830" s="52"/>
      <c r="AD2830" s="52"/>
      <c r="AE2830" s="52"/>
      <c r="AF2830" s="52"/>
      <c r="AG2830" s="52"/>
      <c r="AH2830" s="52"/>
      <c r="AM2830" s="52"/>
      <c r="AN2830" s="52"/>
    </row>
    <row r="2831" spans="16:40" x14ac:dyDescent="0.2">
      <c r="P2831" s="52"/>
      <c r="Q2831" s="52"/>
      <c r="R2831" s="52"/>
      <c r="S2831" s="52"/>
      <c r="T2831" s="52"/>
      <c r="U2831" s="52"/>
      <c r="V2831" s="52"/>
      <c r="W2831" s="52"/>
      <c r="X2831" s="52"/>
      <c r="Y2831" s="52"/>
      <c r="Z2831" s="52"/>
      <c r="AA2831" s="52"/>
      <c r="AB2831" s="52"/>
      <c r="AC2831" s="52"/>
      <c r="AD2831" s="52"/>
      <c r="AE2831" s="52"/>
      <c r="AF2831" s="52"/>
      <c r="AG2831" s="52"/>
      <c r="AH2831" s="52"/>
      <c r="AM2831" s="52"/>
      <c r="AN2831" s="52"/>
    </row>
    <row r="2832" spans="16:40" x14ac:dyDescent="0.2">
      <c r="P2832" s="52"/>
      <c r="Q2832" s="52"/>
      <c r="R2832" s="52"/>
      <c r="S2832" s="52"/>
      <c r="T2832" s="52"/>
      <c r="U2832" s="52"/>
      <c r="V2832" s="52"/>
      <c r="W2832" s="52"/>
      <c r="X2832" s="52"/>
      <c r="Y2832" s="52"/>
      <c r="Z2832" s="52"/>
      <c r="AA2832" s="52"/>
      <c r="AB2832" s="52"/>
      <c r="AC2832" s="52"/>
      <c r="AD2832" s="52"/>
      <c r="AE2832" s="52"/>
      <c r="AF2832" s="52"/>
      <c r="AG2832" s="52"/>
      <c r="AH2832" s="52"/>
      <c r="AM2832" s="52"/>
      <c r="AN2832" s="52"/>
    </row>
    <row r="2833" spans="16:40" x14ac:dyDescent="0.2">
      <c r="P2833" s="52"/>
      <c r="Q2833" s="52"/>
      <c r="R2833" s="52"/>
      <c r="S2833" s="52"/>
      <c r="T2833" s="52"/>
      <c r="U2833" s="52"/>
      <c r="V2833" s="52"/>
      <c r="W2833" s="52"/>
      <c r="X2833" s="52"/>
      <c r="Y2833" s="52"/>
      <c r="Z2833" s="52"/>
      <c r="AA2833" s="52"/>
      <c r="AB2833" s="52"/>
      <c r="AC2833" s="52"/>
      <c r="AD2833" s="52"/>
      <c r="AE2833" s="52"/>
      <c r="AF2833" s="52"/>
      <c r="AG2833" s="52"/>
      <c r="AH2833" s="52"/>
      <c r="AM2833" s="52"/>
      <c r="AN2833" s="52"/>
    </row>
    <row r="2834" spans="16:40" x14ac:dyDescent="0.2"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2"/>
      <c r="AA2834" s="52"/>
      <c r="AB2834" s="52"/>
      <c r="AC2834" s="52"/>
      <c r="AD2834" s="52"/>
      <c r="AE2834" s="52"/>
      <c r="AF2834" s="52"/>
      <c r="AG2834" s="52"/>
      <c r="AH2834" s="52"/>
      <c r="AM2834" s="52"/>
      <c r="AN2834" s="52"/>
    </row>
    <row r="2835" spans="16:40" x14ac:dyDescent="0.2">
      <c r="P2835" s="52"/>
      <c r="Q2835" s="52"/>
      <c r="R2835" s="52"/>
      <c r="S2835" s="52"/>
      <c r="T2835" s="52"/>
      <c r="U2835" s="52"/>
      <c r="V2835" s="52"/>
      <c r="W2835" s="52"/>
      <c r="X2835" s="52"/>
      <c r="Y2835" s="52"/>
      <c r="Z2835" s="52"/>
      <c r="AA2835" s="52"/>
      <c r="AB2835" s="52"/>
      <c r="AC2835" s="52"/>
      <c r="AD2835" s="52"/>
      <c r="AE2835" s="52"/>
      <c r="AF2835" s="52"/>
      <c r="AG2835" s="52"/>
      <c r="AH2835" s="52"/>
      <c r="AM2835" s="52"/>
      <c r="AN2835" s="52"/>
    </row>
    <row r="2836" spans="16:40" x14ac:dyDescent="0.2">
      <c r="P2836" s="52"/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  <c r="AA2836" s="52"/>
      <c r="AB2836" s="52"/>
      <c r="AC2836" s="52"/>
      <c r="AD2836" s="52"/>
      <c r="AE2836" s="52"/>
      <c r="AF2836" s="52"/>
      <c r="AG2836" s="52"/>
      <c r="AH2836" s="52"/>
      <c r="AM2836" s="52"/>
      <c r="AN2836" s="52"/>
    </row>
    <row r="2837" spans="16:40" x14ac:dyDescent="0.2">
      <c r="P2837" s="52"/>
      <c r="Q2837" s="52"/>
      <c r="R2837" s="52"/>
      <c r="S2837" s="52"/>
      <c r="T2837" s="52"/>
      <c r="U2837" s="52"/>
      <c r="V2837" s="52"/>
      <c r="W2837" s="52"/>
      <c r="X2837" s="52"/>
      <c r="Y2837" s="52"/>
      <c r="Z2837" s="52"/>
      <c r="AA2837" s="52"/>
      <c r="AB2837" s="52"/>
      <c r="AC2837" s="52"/>
      <c r="AD2837" s="52"/>
      <c r="AE2837" s="52"/>
      <c r="AF2837" s="52"/>
      <c r="AG2837" s="52"/>
      <c r="AH2837" s="52"/>
      <c r="AM2837" s="52"/>
      <c r="AN2837" s="52"/>
    </row>
    <row r="2838" spans="16:40" x14ac:dyDescent="0.2">
      <c r="P2838" s="52"/>
      <c r="Q2838" s="52"/>
      <c r="R2838" s="52"/>
      <c r="S2838" s="52"/>
      <c r="T2838" s="52"/>
      <c r="U2838" s="52"/>
      <c r="V2838" s="52"/>
      <c r="W2838" s="52"/>
      <c r="X2838" s="52"/>
      <c r="Y2838" s="52"/>
      <c r="Z2838" s="52"/>
      <c r="AA2838" s="52"/>
      <c r="AB2838" s="52"/>
      <c r="AC2838" s="52"/>
      <c r="AD2838" s="52"/>
      <c r="AE2838" s="52"/>
      <c r="AF2838" s="52"/>
      <c r="AG2838" s="52"/>
      <c r="AH2838" s="52"/>
      <c r="AM2838" s="52"/>
      <c r="AN2838" s="52"/>
    </row>
    <row r="2839" spans="16:40" x14ac:dyDescent="0.2">
      <c r="P2839" s="52"/>
      <c r="Q2839" s="52"/>
      <c r="R2839" s="52"/>
      <c r="S2839" s="52"/>
      <c r="T2839" s="52"/>
      <c r="U2839" s="52"/>
      <c r="V2839" s="52"/>
      <c r="W2839" s="52"/>
      <c r="X2839" s="52"/>
      <c r="Y2839" s="52"/>
      <c r="Z2839" s="52"/>
      <c r="AA2839" s="52"/>
      <c r="AB2839" s="52"/>
      <c r="AC2839" s="52"/>
      <c r="AD2839" s="52"/>
      <c r="AE2839" s="52"/>
      <c r="AF2839" s="52"/>
      <c r="AG2839" s="52"/>
      <c r="AH2839" s="52"/>
      <c r="AM2839" s="52"/>
      <c r="AN2839" s="52"/>
    </row>
    <row r="2840" spans="16:40" x14ac:dyDescent="0.2">
      <c r="P2840" s="52"/>
      <c r="Q2840" s="52"/>
      <c r="R2840" s="52"/>
      <c r="S2840" s="52"/>
      <c r="T2840" s="52"/>
      <c r="U2840" s="52"/>
      <c r="V2840" s="52"/>
      <c r="W2840" s="52"/>
      <c r="X2840" s="52"/>
      <c r="Y2840" s="52"/>
      <c r="Z2840" s="52"/>
      <c r="AA2840" s="52"/>
      <c r="AB2840" s="52"/>
      <c r="AC2840" s="52"/>
      <c r="AD2840" s="52"/>
      <c r="AE2840" s="52"/>
      <c r="AF2840" s="52"/>
      <c r="AG2840" s="52"/>
      <c r="AH2840" s="52"/>
      <c r="AM2840" s="52"/>
      <c r="AN2840" s="52"/>
    </row>
    <row r="2841" spans="16:40" x14ac:dyDescent="0.2">
      <c r="P2841" s="52"/>
      <c r="Q2841" s="52"/>
      <c r="R2841" s="52"/>
      <c r="S2841" s="52"/>
      <c r="T2841" s="52"/>
      <c r="U2841" s="52"/>
      <c r="V2841" s="52"/>
      <c r="W2841" s="52"/>
      <c r="X2841" s="52"/>
      <c r="Y2841" s="52"/>
      <c r="Z2841" s="52"/>
      <c r="AA2841" s="52"/>
      <c r="AB2841" s="52"/>
      <c r="AC2841" s="52"/>
      <c r="AD2841" s="52"/>
      <c r="AE2841" s="52"/>
      <c r="AF2841" s="52"/>
      <c r="AG2841" s="52"/>
      <c r="AH2841" s="52"/>
      <c r="AM2841" s="52"/>
      <c r="AN2841" s="52"/>
    </row>
    <row r="2842" spans="16:40" x14ac:dyDescent="0.2">
      <c r="P2842" s="52"/>
      <c r="Q2842" s="52"/>
      <c r="R2842" s="52"/>
      <c r="S2842" s="52"/>
      <c r="T2842" s="52"/>
      <c r="U2842" s="52"/>
      <c r="V2842" s="52"/>
      <c r="W2842" s="52"/>
      <c r="X2842" s="52"/>
      <c r="Y2842" s="52"/>
      <c r="Z2842" s="52"/>
      <c r="AA2842" s="52"/>
      <c r="AB2842" s="52"/>
      <c r="AC2842" s="52"/>
      <c r="AD2842" s="52"/>
      <c r="AE2842" s="52"/>
      <c r="AF2842" s="52"/>
      <c r="AG2842" s="52"/>
      <c r="AH2842" s="52"/>
      <c r="AM2842" s="52"/>
      <c r="AN2842" s="52"/>
    </row>
    <row r="2843" spans="16:40" x14ac:dyDescent="0.2">
      <c r="P2843" s="52"/>
      <c r="Q2843" s="52"/>
      <c r="R2843" s="52"/>
      <c r="S2843" s="52"/>
      <c r="T2843" s="52"/>
      <c r="U2843" s="52"/>
      <c r="V2843" s="52"/>
      <c r="W2843" s="52"/>
      <c r="X2843" s="52"/>
      <c r="Y2843" s="52"/>
      <c r="Z2843" s="52"/>
      <c r="AA2843" s="52"/>
      <c r="AB2843" s="52"/>
      <c r="AC2843" s="52"/>
      <c r="AD2843" s="52"/>
      <c r="AE2843" s="52"/>
      <c r="AF2843" s="52"/>
      <c r="AG2843" s="52"/>
      <c r="AH2843" s="52"/>
      <c r="AM2843" s="52"/>
      <c r="AN2843" s="52"/>
    </row>
    <row r="2844" spans="16:40" x14ac:dyDescent="0.2">
      <c r="P2844" s="52"/>
      <c r="Q2844" s="52"/>
      <c r="R2844" s="52"/>
      <c r="S2844" s="52"/>
      <c r="T2844" s="52"/>
      <c r="U2844" s="52"/>
      <c r="V2844" s="52"/>
      <c r="W2844" s="52"/>
      <c r="X2844" s="52"/>
      <c r="Y2844" s="52"/>
      <c r="Z2844" s="52"/>
      <c r="AA2844" s="52"/>
      <c r="AB2844" s="52"/>
      <c r="AC2844" s="52"/>
      <c r="AD2844" s="52"/>
      <c r="AE2844" s="52"/>
      <c r="AF2844" s="52"/>
      <c r="AG2844" s="52"/>
      <c r="AH2844" s="52"/>
      <c r="AM2844" s="52"/>
      <c r="AN2844" s="52"/>
    </row>
    <row r="2845" spans="16:40" x14ac:dyDescent="0.2">
      <c r="P2845" s="52"/>
      <c r="Q2845" s="52"/>
      <c r="R2845" s="52"/>
      <c r="S2845" s="52"/>
      <c r="T2845" s="52"/>
      <c r="U2845" s="52"/>
      <c r="V2845" s="52"/>
      <c r="W2845" s="52"/>
      <c r="X2845" s="52"/>
      <c r="Y2845" s="52"/>
      <c r="Z2845" s="52"/>
      <c r="AA2845" s="52"/>
      <c r="AB2845" s="52"/>
      <c r="AC2845" s="52"/>
      <c r="AD2845" s="52"/>
      <c r="AE2845" s="52"/>
      <c r="AF2845" s="52"/>
      <c r="AG2845" s="52"/>
      <c r="AH2845" s="52"/>
      <c r="AM2845" s="52"/>
      <c r="AN2845" s="52"/>
    </row>
    <row r="2846" spans="16:40" x14ac:dyDescent="0.2">
      <c r="P2846" s="52"/>
      <c r="Q2846" s="52"/>
      <c r="R2846" s="52"/>
      <c r="S2846" s="52"/>
      <c r="T2846" s="52"/>
      <c r="U2846" s="52"/>
      <c r="V2846" s="52"/>
      <c r="W2846" s="52"/>
      <c r="X2846" s="52"/>
      <c r="Y2846" s="52"/>
      <c r="Z2846" s="52"/>
      <c r="AA2846" s="52"/>
      <c r="AB2846" s="52"/>
      <c r="AC2846" s="52"/>
      <c r="AD2846" s="52"/>
      <c r="AE2846" s="52"/>
      <c r="AF2846" s="52"/>
      <c r="AG2846" s="52"/>
      <c r="AH2846" s="52"/>
      <c r="AM2846" s="52"/>
      <c r="AN2846" s="52"/>
    </row>
    <row r="2847" spans="16:40" x14ac:dyDescent="0.2">
      <c r="P2847" s="52"/>
      <c r="Q2847" s="52"/>
      <c r="R2847" s="52"/>
      <c r="S2847" s="52"/>
      <c r="T2847" s="52"/>
      <c r="U2847" s="52"/>
      <c r="V2847" s="52"/>
      <c r="W2847" s="52"/>
      <c r="X2847" s="52"/>
      <c r="Y2847" s="52"/>
      <c r="Z2847" s="52"/>
      <c r="AA2847" s="52"/>
      <c r="AB2847" s="52"/>
      <c r="AC2847" s="52"/>
      <c r="AD2847" s="52"/>
      <c r="AE2847" s="52"/>
      <c r="AF2847" s="52"/>
      <c r="AG2847" s="52"/>
      <c r="AH2847" s="52"/>
      <c r="AM2847" s="52"/>
      <c r="AN2847" s="52"/>
    </row>
    <row r="2848" spans="16:40" x14ac:dyDescent="0.2">
      <c r="P2848" s="52"/>
      <c r="Q2848" s="52"/>
      <c r="R2848" s="52"/>
      <c r="S2848" s="52"/>
      <c r="T2848" s="52"/>
      <c r="U2848" s="52"/>
      <c r="V2848" s="52"/>
      <c r="W2848" s="52"/>
      <c r="X2848" s="52"/>
      <c r="Y2848" s="52"/>
      <c r="Z2848" s="52"/>
      <c r="AA2848" s="52"/>
      <c r="AB2848" s="52"/>
      <c r="AC2848" s="52"/>
      <c r="AD2848" s="52"/>
      <c r="AE2848" s="52"/>
      <c r="AF2848" s="52"/>
      <c r="AG2848" s="52"/>
      <c r="AH2848" s="52"/>
      <c r="AM2848" s="52"/>
      <c r="AN2848" s="52"/>
    </row>
    <row r="2849" spans="16:40" x14ac:dyDescent="0.2">
      <c r="P2849" s="52"/>
      <c r="Q2849" s="52"/>
      <c r="R2849" s="52"/>
      <c r="S2849" s="52"/>
      <c r="T2849" s="52"/>
      <c r="U2849" s="52"/>
      <c r="V2849" s="52"/>
      <c r="W2849" s="52"/>
      <c r="X2849" s="52"/>
      <c r="Y2849" s="52"/>
      <c r="Z2849" s="52"/>
      <c r="AA2849" s="52"/>
      <c r="AB2849" s="52"/>
      <c r="AC2849" s="52"/>
      <c r="AD2849" s="52"/>
      <c r="AE2849" s="52"/>
      <c r="AF2849" s="52"/>
      <c r="AG2849" s="52"/>
      <c r="AH2849" s="52"/>
      <c r="AM2849" s="52"/>
      <c r="AN2849" s="52"/>
    </row>
    <row r="2850" spans="16:40" x14ac:dyDescent="0.2">
      <c r="P2850" s="52"/>
      <c r="Q2850" s="52"/>
      <c r="R2850" s="52"/>
      <c r="S2850" s="52"/>
      <c r="T2850" s="52"/>
      <c r="U2850" s="52"/>
      <c r="V2850" s="52"/>
      <c r="W2850" s="52"/>
      <c r="X2850" s="52"/>
      <c r="Y2850" s="52"/>
      <c r="Z2850" s="52"/>
      <c r="AA2850" s="52"/>
      <c r="AB2850" s="52"/>
      <c r="AC2850" s="52"/>
      <c r="AD2850" s="52"/>
      <c r="AE2850" s="52"/>
      <c r="AF2850" s="52"/>
      <c r="AG2850" s="52"/>
      <c r="AH2850" s="52"/>
      <c r="AM2850" s="52"/>
      <c r="AN2850" s="52"/>
    </row>
    <row r="2851" spans="16:40" x14ac:dyDescent="0.2">
      <c r="P2851" s="52"/>
      <c r="Q2851" s="52"/>
      <c r="R2851" s="52"/>
      <c r="S2851" s="52"/>
      <c r="T2851" s="52"/>
      <c r="U2851" s="52"/>
      <c r="V2851" s="52"/>
      <c r="W2851" s="52"/>
      <c r="X2851" s="52"/>
      <c r="Y2851" s="52"/>
      <c r="Z2851" s="52"/>
      <c r="AA2851" s="52"/>
      <c r="AB2851" s="52"/>
      <c r="AC2851" s="52"/>
      <c r="AD2851" s="52"/>
      <c r="AE2851" s="52"/>
      <c r="AF2851" s="52"/>
      <c r="AG2851" s="52"/>
      <c r="AH2851" s="52"/>
      <c r="AM2851" s="52"/>
      <c r="AN2851" s="52"/>
    </row>
    <row r="2852" spans="16:40" x14ac:dyDescent="0.2">
      <c r="P2852" s="52"/>
      <c r="Q2852" s="52"/>
      <c r="R2852" s="52"/>
      <c r="S2852" s="52"/>
      <c r="T2852" s="52"/>
      <c r="U2852" s="52"/>
      <c r="V2852" s="52"/>
      <c r="W2852" s="52"/>
      <c r="X2852" s="52"/>
      <c r="Y2852" s="52"/>
      <c r="Z2852" s="52"/>
      <c r="AA2852" s="52"/>
      <c r="AB2852" s="52"/>
      <c r="AC2852" s="52"/>
      <c r="AD2852" s="52"/>
      <c r="AE2852" s="52"/>
      <c r="AF2852" s="52"/>
      <c r="AG2852" s="52"/>
      <c r="AH2852" s="52"/>
      <c r="AM2852" s="52"/>
      <c r="AN2852" s="52"/>
    </row>
    <row r="2853" spans="16:40" x14ac:dyDescent="0.2">
      <c r="P2853" s="52"/>
      <c r="Q2853" s="52"/>
      <c r="R2853" s="52"/>
      <c r="S2853" s="52"/>
      <c r="T2853" s="52"/>
      <c r="U2853" s="52"/>
      <c r="V2853" s="52"/>
      <c r="W2853" s="52"/>
      <c r="X2853" s="52"/>
      <c r="Y2853" s="52"/>
      <c r="Z2853" s="52"/>
      <c r="AA2853" s="52"/>
      <c r="AB2853" s="52"/>
      <c r="AC2853" s="52"/>
      <c r="AD2853" s="52"/>
      <c r="AE2853" s="52"/>
      <c r="AF2853" s="52"/>
      <c r="AG2853" s="52"/>
      <c r="AH2853" s="52"/>
      <c r="AM2853" s="52"/>
      <c r="AN2853" s="52"/>
    </row>
    <row r="2854" spans="16:40" x14ac:dyDescent="0.2">
      <c r="P2854" s="52"/>
      <c r="Q2854" s="52"/>
      <c r="R2854" s="52"/>
      <c r="S2854" s="52"/>
      <c r="T2854" s="52"/>
      <c r="U2854" s="52"/>
      <c r="V2854" s="52"/>
      <c r="W2854" s="52"/>
      <c r="X2854" s="52"/>
      <c r="Y2854" s="52"/>
      <c r="Z2854" s="52"/>
      <c r="AA2854" s="52"/>
      <c r="AB2854" s="52"/>
      <c r="AC2854" s="52"/>
      <c r="AD2854" s="52"/>
      <c r="AE2854" s="52"/>
      <c r="AF2854" s="52"/>
      <c r="AG2854" s="52"/>
      <c r="AH2854" s="52"/>
      <c r="AM2854" s="52"/>
      <c r="AN2854" s="52"/>
    </row>
    <row r="2855" spans="16:40" x14ac:dyDescent="0.2">
      <c r="P2855" s="52"/>
      <c r="Q2855" s="52"/>
      <c r="R2855" s="52"/>
      <c r="S2855" s="52"/>
      <c r="T2855" s="52"/>
      <c r="U2855" s="52"/>
      <c r="V2855" s="52"/>
      <c r="W2855" s="52"/>
      <c r="X2855" s="52"/>
      <c r="Y2855" s="52"/>
      <c r="Z2855" s="52"/>
      <c r="AA2855" s="52"/>
      <c r="AB2855" s="52"/>
      <c r="AC2855" s="52"/>
      <c r="AD2855" s="52"/>
      <c r="AE2855" s="52"/>
      <c r="AF2855" s="52"/>
      <c r="AG2855" s="52"/>
      <c r="AH2855" s="52"/>
      <c r="AM2855" s="52"/>
      <c r="AN2855" s="52"/>
    </row>
    <row r="2856" spans="16:40" x14ac:dyDescent="0.2">
      <c r="P2856" s="52"/>
      <c r="Q2856" s="52"/>
      <c r="R2856" s="52"/>
      <c r="S2856" s="52"/>
      <c r="T2856" s="52"/>
      <c r="U2856" s="52"/>
      <c r="V2856" s="52"/>
      <c r="W2856" s="52"/>
      <c r="X2856" s="52"/>
      <c r="Y2856" s="52"/>
      <c r="Z2856" s="52"/>
      <c r="AA2856" s="52"/>
      <c r="AB2856" s="52"/>
      <c r="AC2856" s="52"/>
      <c r="AD2856" s="52"/>
      <c r="AE2856" s="52"/>
      <c r="AF2856" s="52"/>
      <c r="AG2856" s="52"/>
      <c r="AH2856" s="52"/>
      <c r="AM2856" s="52"/>
      <c r="AN2856" s="52"/>
    </row>
    <row r="2857" spans="16:40" x14ac:dyDescent="0.2">
      <c r="P2857" s="52"/>
      <c r="Q2857" s="52"/>
      <c r="R2857" s="52"/>
      <c r="S2857" s="52"/>
      <c r="T2857" s="52"/>
      <c r="U2857" s="52"/>
      <c r="V2857" s="52"/>
      <c r="W2857" s="52"/>
      <c r="X2857" s="52"/>
      <c r="Y2857" s="52"/>
      <c r="Z2857" s="52"/>
      <c r="AA2857" s="52"/>
      <c r="AB2857" s="52"/>
      <c r="AC2857" s="52"/>
      <c r="AD2857" s="52"/>
      <c r="AE2857" s="52"/>
      <c r="AF2857" s="52"/>
      <c r="AG2857" s="52"/>
      <c r="AH2857" s="52"/>
      <c r="AM2857" s="52"/>
      <c r="AN2857" s="52"/>
    </row>
    <row r="2858" spans="16:40" x14ac:dyDescent="0.2">
      <c r="P2858" s="52"/>
      <c r="Q2858" s="52"/>
      <c r="R2858" s="52"/>
      <c r="S2858" s="52"/>
      <c r="T2858" s="52"/>
      <c r="U2858" s="52"/>
      <c r="V2858" s="52"/>
      <c r="W2858" s="52"/>
      <c r="X2858" s="52"/>
      <c r="Y2858" s="52"/>
      <c r="Z2858" s="52"/>
      <c r="AA2858" s="52"/>
      <c r="AB2858" s="52"/>
      <c r="AC2858" s="52"/>
      <c r="AD2858" s="52"/>
      <c r="AE2858" s="52"/>
      <c r="AF2858" s="52"/>
      <c r="AG2858" s="52"/>
      <c r="AH2858" s="52"/>
      <c r="AM2858" s="52"/>
      <c r="AN2858" s="52"/>
    </row>
    <row r="2859" spans="16:40" x14ac:dyDescent="0.2">
      <c r="P2859" s="52"/>
      <c r="Q2859" s="52"/>
      <c r="R2859" s="52"/>
      <c r="S2859" s="52"/>
      <c r="T2859" s="52"/>
      <c r="U2859" s="52"/>
      <c r="V2859" s="52"/>
      <c r="W2859" s="52"/>
      <c r="X2859" s="52"/>
      <c r="Y2859" s="52"/>
      <c r="Z2859" s="52"/>
      <c r="AA2859" s="52"/>
      <c r="AB2859" s="52"/>
      <c r="AC2859" s="52"/>
      <c r="AD2859" s="52"/>
      <c r="AE2859" s="52"/>
      <c r="AF2859" s="52"/>
      <c r="AG2859" s="52"/>
      <c r="AH2859" s="52"/>
      <c r="AM2859" s="52"/>
      <c r="AN2859" s="52"/>
    </row>
    <row r="2860" spans="16:40" x14ac:dyDescent="0.2">
      <c r="P2860" s="52"/>
      <c r="Q2860" s="52"/>
      <c r="R2860" s="52"/>
      <c r="S2860" s="52"/>
      <c r="T2860" s="52"/>
      <c r="U2860" s="52"/>
      <c r="V2860" s="52"/>
      <c r="W2860" s="52"/>
      <c r="X2860" s="52"/>
      <c r="Y2860" s="52"/>
      <c r="Z2860" s="52"/>
      <c r="AA2860" s="52"/>
      <c r="AB2860" s="52"/>
      <c r="AC2860" s="52"/>
      <c r="AD2860" s="52"/>
      <c r="AE2860" s="52"/>
      <c r="AF2860" s="52"/>
      <c r="AG2860" s="52"/>
      <c r="AH2860" s="52"/>
      <c r="AM2860" s="52"/>
      <c r="AN2860" s="52"/>
    </row>
    <row r="2861" spans="16:40" x14ac:dyDescent="0.2">
      <c r="P2861" s="52"/>
      <c r="Q2861" s="52"/>
      <c r="R2861" s="52"/>
      <c r="S2861" s="52"/>
      <c r="T2861" s="52"/>
      <c r="U2861" s="52"/>
      <c r="V2861" s="52"/>
      <c r="W2861" s="52"/>
      <c r="X2861" s="52"/>
      <c r="Y2861" s="52"/>
      <c r="Z2861" s="52"/>
      <c r="AA2861" s="52"/>
      <c r="AB2861" s="52"/>
      <c r="AC2861" s="52"/>
      <c r="AD2861" s="52"/>
      <c r="AE2861" s="52"/>
      <c r="AF2861" s="52"/>
      <c r="AG2861" s="52"/>
      <c r="AH2861" s="52"/>
      <c r="AM2861" s="52"/>
      <c r="AN2861" s="52"/>
    </row>
    <row r="2862" spans="16:40" x14ac:dyDescent="0.2">
      <c r="P2862" s="52"/>
      <c r="Q2862" s="52"/>
      <c r="R2862" s="52"/>
      <c r="S2862" s="52"/>
      <c r="T2862" s="52"/>
      <c r="U2862" s="52"/>
      <c r="V2862" s="52"/>
      <c r="W2862" s="52"/>
      <c r="X2862" s="52"/>
      <c r="Y2862" s="52"/>
      <c r="Z2862" s="52"/>
      <c r="AA2862" s="52"/>
      <c r="AB2862" s="52"/>
      <c r="AC2862" s="52"/>
      <c r="AD2862" s="52"/>
      <c r="AE2862" s="52"/>
      <c r="AF2862" s="52"/>
      <c r="AG2862" s="52"/>
      <c r="AH2862" s="52"/>
      <c r="AM2862" s="52"/>
      <c r="AN2862" s="52"/>
    </row>
    <row r="2863" spans="16:40" x14ac:dyDescent="0.2">
      <c r="P2863" s="52"/>
      <c r="Q2863" s="52"/>
      <c r="R2863" s="52"/>
      <c r="S2863" s="52"/>
      <c r="T2863" s="52"/>
      <c r="U2863" s="52"/>
      <c r="V2863" s="52"/>
      <c r="W2863" s="52"/>
      <c r="X2863" s="52"/>
      <c r="Y2863" s="52"/>
      <c r="Z2863" s="52"/>
      <c r="AA2863" s="52"/>
      <c r="AB2863" s="52"/>
      <c r="AC2863" s="52"/>
      <c r="AD2863" s="52"/>
      <c r="AE2863" s="52"/>
      <c r="AF2863" s="52"/>
      <c r="AG2863" s="52"/>
      <c r="AH2863" s="52"/>
      <c r="AM2863" s="52"/>
      <c r="AN2863" s="52"/>
    </row>
    <row r="2864" spans="16:40" x14ac:dyDescent="0.2">
      <c r="P2864" s="52"/>
      <c r="Q2864" s="52"/>
      <c r="R2864" s="52"/>
      <c r="S2864" s="52"/>
      <c r="T2864" s="52"/>
      <c r="U2864" s="52"/>
      <c r="V2864" s="52"/>
      <c r="W2864" s="52"/>
      <c r="X2864" s="52"/>
      <c r="Y2864" s="52"/>
      <c r="Z2864" s="52"/>
      <c r="AA2864" s="52"/>
      <c r="AB2864" s="52"/>
      <c r="AC2864" s="52"/>
      <c r="AD2864" s="52"/>
      <c r="AE2864" s="52"/>
      <c r="AF2864" s="52"/>
      <c r="AG2864" s="52"/>
      <c r="AH2864" s="52"/>
      <c r="AM2864" s="52"/>
      <c r="AN2864" s="52"/>
    </row>
    <row r="2865" spans="16:40" x14ac:dyDescent="0.2">
      <c r="P2865" s="52"/>
      <c r="Q2865" s="52"/>
      <c r="R2865" s="52"/>
      <c r="S2865" s="52"/>
      <c r="T2865" s="52"/>
      <c r="U2865" s="52"/>
      <c r="V2865" s="52"/>
      <c r="W2865" s="52"/>
      <c r="X2865" s="52"/>
      <c r="Y2865" s="52"/>
      <c r="Z2865" s="52"/>
      <c r="AA2865" s="52"/>
      <c r="AB2865" s="52"/>
      <c r="AC2865" s="52"/>
      <c r="AD2865" s="52"/>
      <c r="AE2865" s="52"/>
      <c r="AF2865" s="52"/>
      <c r="AG2865" s="52"/>
      <c r="AH2865" s="52"/>
      <c r="AM2865" s="52"/>
      <c r="AN2865" s="52"/>
    </row>
    <row r="2866" spans="16:40" x14ac:dyDescent="0.2">
      <c r="P2866" s="52"/>
      <c r="Q2866" s="52"/>
      <c r="R2866" s="52"/>
      <c r="S2866" s="52"/>
      <c r="T2866" s="52"/>
      <c r="U2866" s="52"/>
      <c r="V2866" s="52"/>
      <c r="W2866" s="52"/>
      <c r="X2866" s="52"/>
      <c r="Y2866" s="52"/>
      <c r="Z2866" s="52"/>
      <c r="AA2866" s="52"/>
      <c r="AB2866" s="52"/>
      <c r="AC2866" s="52"/>
      <c r="AD2866" s="52"/>
      <c r="AE2866" s="52"/>
      <c r="AF2866" s="52"/>
      <c r="AG2866" s="52"/>
      <c r="AH2866" s="52"/>
      <c r="AM2866" s="52"/>
      <c r="AN2866" s="52"/>
    </row>
    <row r="2867" spans="16:40" x14ac:dyDescent="0.2">
      <c r="P2867" s="52"/>
      <c r="Q2867" s="52"/>
      <c r="R2867" s="52"/>
      <c r="S2867" s="52"/>
      <c r="T2867" s="52"/>
      <c r="U2867" s="52"/>
      <c r="V2867" s="52"/>
      <c r="W2867" s="52"/>
      <c r="X2867" s="52"/>
      <c r="Y2867" s="52"/>
      <c r="Z2867" s="52"/>
      <c r="AA2867" s="52"/>
      <c r="AB2867" s="52"/>
      <c r="AC2867" s="52"/>
      <c r="AD2867" s="52"/>
      <c r="AE2867" s="52"/>
      <c r="AF2867" s="52"/>
      <c r="AG2867" s="52"/>
      <c r="AH2867" s="52"/>
      <c r="AM2867" s="52"/>
      <c r="AN2867" s="52"/>
    </row>
    <row r="2868" spans="16:40" x14ac:dyDescent="0.2">
      <c r="P2868" s="52"/>
      <c r="Q2868" s="52"/>
      <c r="R2868" s="52"/>
      <c r="S2868" s="52"/>
      <c r="T2868" s="52"/>
      <c r="U2868" s="52"/>
      <c r="V2868" s="52"/>
      <c r="W2868" s="52"/>
      <c r="X2868" s="52"/>
      <c r="Y2868" s="52"/>
      <c r="Z2868" s="52"/>
      <c r="AA2868" s="52"/>
      <c r="AB2868" s="52"/>
      <c r="AC2868" s="52"/>
      <c r="AD2868" s="52"/>
      <c r="AE2868" s="52"/>
      <c r="AF2868" s="52"/>
      <c r="AG2868" s="52"/>
      <c r="AH2868" s="52"/>
      <c r="AM2868" s="52"/>
      <c r="AN2868" s="52"/>
    </row>
    <row r="2869" spans="16:40" x14ac:dyDescent="0.2">
      <c r="P2869" s="52"/>
      <c r="Q2869" s="52"/>
      <c r="R2869" s="52"/>
      <c r="S2869" s="52"/>
      <c r="T2869" s="52"/>
      <c r="U2869" s="52"/>
      <c r="V2869" s="52"/>
      <c r="W2869" s="52"/>
      <c r="X2869" s="52"/>
      <c r="Y2869" s="52"/>
      <c r="Z2869" s="52"/>
      <c r="AA2869" s="52"/>
      <c r="AB2869" s="52"/>
      <c r="AC2869" s="52"/>
      <c r="AD2869" s="52"/>
      <c r="AE2869" s="52"/>
      <c r="AF2869" s="52"/>
      <c r="AG2869" s="52"/>
      <c r="AH2869" s="52"/>
      <c r="AM2869" s="52"/>
      <c r="AN2869" s="52"/>
    </row>
    <row r="2870" spans="16:40" x14ac:dyDescent="0.2">
      <c r="P2870" s="52"/>
      <c r="Q2870" s="52"/>
      <c r="R2870" s="52"/>
      <c r="S2870" s="52"/>
      <c r="T2870" s="52"/>
      <c r="U2870" s="52"/>
      <c r="V2870" s="52"/>
      <c r="W2870" s="52"/>
      <c r="X2870" s="52"/>
      <c r="Y2870" s="52"/>
      <c r="Z2870" s="52"/>
      <c r="AA2870" s="52"/>
      <c r="AB2870" s="52"/>
      <c r="AC2870" s="52"/>
      <c r="AD2870" s="52"/>
      <c r="AE2870" s="52"/>
      <c r="AF2870" s="52"/>
      <c r="AG2870" s="52"/>
      <c r="AH2870" s="52"/>
      <c r="AM2870" s="52"/>
      <c r="AN2870" s="52"/>
    </row>
    <row r="2871" spans="16:40" x14ac:dyDescent="0.2">
      <c r="P2871" s="52"/>
      <c r="Q2871" s="52"/>
      <c r="R2871" s="52"/>
      <c r="S2871" s="52"/>
      <c r="T2871" s="52"/>
      <c r="U2871" s="52"/>
      <c r="V2871" s="52"/>
      <c r="W2871" s="52"/>
      <c r="X2871" s="52"/>
      <c r="Y2871" s="52"/>
      <c r="Z2871" s="52"/>
      <c r="AA2871" s="52"/>
      <c r="AB2871" s="52"/>
      <c r="AC2871" s="52"/>
      <c r="AD2871" s="52"/>
      <c r="AE2871" s="52"/>
      <c r="AF2871" s="52"/>
      <c r="AG2871" s="52"/>
      <c r="AH2871" s="52"/>
      <c r="AM2871" s="52"/>
      <c r="AN2871" s="52"/>
    </row>
    <row r="2872" spans="16:40" x14ac:dyDescent="0.2"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2"/>
      <c r="AA2872" s="52"/>
      <c r="AB2872" s="52"/>
      <c r="AC2872" s="52"/>
      <c r="AD2872" s="52"/>
      <c r="AE2872" s="52"/>
      <c r="AF2872" s="52"/>
      <c r="AG2872" s="52"/>
      <c r="AH2872" s="52"/>
      <c r="AM2872" s="52"/>
      <c r="AN2872" s="52"/>
    </row>
    <row r="2873" spans="16:40" x14ac:dyDescent="0.2">
      <c r="P2873" s="52"/>
      <c r="Q2873" s="52"/>
      <c r="R2873" s="52"/>
      <c r="S2873" s="52"/>
      <c r="T2873" s="52"/>
      <c r="U2873" s="52"/>
      <c r="V2873" s="52"/>
      <c r="W2873" s="52"/>
      <c r="X2873" s="52"/>
      <c r="Y2873" s="52"/>
      <c r="Z2873" s="52"/>
      <c r="AA2873" s="52"/>
      <c r="AB2873" s="52"/>
      <c r="AC2873" s="52"/>
      <c r="AD2873" s="52"/>
      <c r="AE2873" s="52"/>
      <c r="AF2873" s="52"/>
      <c r="AG2873" s="52"/>
      <c r="AH2873" s="52"/>
      <c r="AM2873" s="52"/>
      <c r="AN2873" s="52"/>
    </row>
    <row r="2874" spans="16:40" x14ac:dyDescent="0.2">
      <c r="P2874" s="52"/>
      <c r="Q2874" s="52"/>
      <c r="R2874" s="52"/>
      <c r="S2874" s="52"/>
      <c r="T2874" s="52"/>
      <c r="U2874" s="52"/>
      <c r="V2874" s="52"/>
      <c r="W2874" s="52"/>
      <c r="X2874" s="52"/>
      <c r="Y2874" s="52"/>
      <c r="Z2874" s="52"/>
      <c r="AA2874" s="52"/>
      <c r="AB2874" s="52"/>
      <c r="AC2874" s="52"/>
      <c r="AD2874" s="52"/>
      <c r="AE2874" s="52"/>
      <c r="AF2874" s="52"/>
      <c r="AG2874" s="52"/>
      <c r="AH2874" s="52"/>
      <c r="AM2874" s="52"/>
      <c r="AN2874" s="52"/>
    </row>
    <row r="2875" spans="16:40" x14ac:dyDescent="0.2">
      <c r="P2875" s="52"/>
      <c r="Q2875" s="52"/>
      <c r="R2875" s="52"/>
      <c r="S2875" s="52"/>
      <c r="T2875" s="52"/>
      <c r="U2875" s="52"/>
      <c r="V2875" s="52"/>
      <c r="W2875" s="52"/>
      <c r="X2875" s="52"/>
      <c r="Y2875" s="52"/>
      <c r="Z2875" s="52"/>
      <c r="AA2875" s="52"/>
      <c r="AB2875" s="52"/>
      <c r="AC2875" s="52"/>
      <c r="AD2875" s="52"/>
      <c r="AE2875" s="52"/>
      <c r="AF2875" s="52"/>
      <c r="AG2875" s="52"/>
      <c r="AH2875" s="52"/>
      <c r="AM2875" s="52"/>
      <c r="AN2875" s="52"/>
    </row>
    <row r="2876" spans="16:40" x14ac:dyDescent="0.2">
      <c r="P2876" s="52"/>
      <c r="Q2876" s="52"/>
      <c r="R2876" s="52"/>
      <c r="S2876" s="52"/>
      <c r="T2876" s="52"/>
      <c r="U2876" s="52"/>
      <c r="V2876" s="52"/>
      <c r="W2876" s="52"/>
      <c r="X2876" s="52"/>
      <c r="Y2876" s="52"/>
      <c r="Z2876" s="52"/>
      <c r="AA2876" s="52"/>
      <c r="AB2876" s="52"/>
      <c r="AC2876" s="52"/>
      <c r="AD2876" s="52"/>
      <c r="AE2876" s="52"/>
      <c r="AF2876" s="52"/>
      <c r="AG2876" s="52"/>
      <c r="AH2876" s="52"/>
      <c r="AM2876" s="52"/>
      <c r="AN2876" s="52"/>
    </row>
    <row r="2877" spans="16:40" x14ac:dyDescent="0.2">
      <c r="P2877" s="52"/>
      <c r="Q2877" s="52"/>
      <c r="R2877" s="52"/>
      <c r="S2877" s="52"/>
      <c r="T2877" s="52"/>
      <c r="U2877" s="52"/>
      <c r="V2877" s="52"/>
      <c r="W2877" s="52"/>
      <c r="X2877" s="52"/>
      <c r="Y2877" s="52"/>
      <c r="Z2877" s="52"/>
      <c r="AA2877" s="52"/>
      <c r="AB2877" s="52"/>
      <c r="AC2877" s="52"/>
      <c r="AD2877" s="52"/>
      <c r="AE2877" s="52"/>
      <c r="AF2877" s="52"/>
      <c r="AG2877" s="52"/>
      <c r="AH2877" s="52"/>
      <c r="AM2877" s="52"/>
      <c r="AN2877" s="52"/>
    </row>
    <row r="2878" spans="16:40" x14ac:dyDescent="0.2">
      <c r="P2878" s="52"/>
      <c r="Q2878" s="52"/>
      <c r="R2878" s="52"/>
      <c r="S2878" s="52"/>
      <c r="T2878" s="52"/>
      <c r="U2878" s="52"/>
      <c r="V2878" s="52"/>
      <c r="W2878" s="52"/>
      <c r="X2878" s="52"/>
      <c r="Y2878" s="52"/>
      <c r="Z2878" s="52"/>
      <c r="AA2878" s="52"/>
      <c r="AB2878" s="52"/>
      <c r="AC2878" s="52"/>
      <c r="AD2878" s="52"/>
      <c r="AE2878" s="52"/>
      <c r="AF2878" s="52"/>
      <c r="AG2878" s="52"/>
      <c r="AH2878" s="52"/>
      <c r="AM2878" s="52"/>
      <c r="AN2878" s="52"/>
    </row>
    <row r="2879" spans="16:40" x14ac:dyDescent="0.2">
      <c r="P2879" s="52"/>
      <c r="Q2879" s="52"/>
      <c r="R2879" s="52"/>
      <c r="S2879" s="52"/>
      <c r="T2879" s="52"/>
      <c r="U2879" s="52"/>
      <c r="V2879" s="52"/>
      <c r="W2879" s="52"/>
      <c r="X2879" s="52"/>
      <c r="Y2879" s="52"/>
      <c r="Z2879" s="52"/>
      <c r="AA2879" s="52"/>
      <c r="AB2879" s="52"/>
      <c r="AC2879" s="52"/>
      <c r="AD2879" s="52"/>
      <c r="AE2879" s="52"/>
      <c r="AF2879" s="52"/>
      <c r="AG2879" s="52"/>
      <c r="AH2879" s="52"/>
      <c r="AM2879" s="52"/>
      <c r="AN2879" s="52"/>
    </row>
    <row r="2880" spans="16:40" x14ac:dyDescent="0.2">
      <c r="P2880" s="52"/>
      <c r="Q2880" s="52"/>
      <c r="R2880" s="52"/>
      <c r="S2880" s="52"/>
      <c r="T2880" s="52"/>
      <c r="U2880" s="52"/>
      <c r="V2880" s="52"/>
      <c r="W2880" s="52"/>
      <c r="X2880" s="52"/>
      <c r="Y2880" s="52"/>
      <c r="Z2880" s="52"/>
      <c r="AA2880" s="52"/>
      <c r="AB2880" s="52"/>
      <c r="AC2880" s="52"/>
      <c r="AD2880" s="52"/>
      <c r="AE2880" s="52"/>
      <c r="AF2880" s="52"/>
      <c r="AG2880" s="52"/>
      <c r="AH2880" s="52"/>
      <c r="AM2880" s="52"/>
      <c r="AN2880" s="52"/>
    </row>
    <row r="2881" spans="16:40" x14ac:dyDescent="0.2">
      <c r="P2881" s="52"/>
      <c r="Q2881" s="52"/>
      <c r="R2881" s="52"/>
      <c r="S2881" s="52"/>
      <c r="T2881" s="52"/>
      <c r="U2881" s="52"/>
      <c r="V2881" s="52"/>
      <c r="W2881" s="52"/>
      <c r="X2881" s="52"/>
      <c r="Y2881" s="52"/>
      <c r="Z2881" s="52"/>
      <c r="AA2881" s="52"/>
      <c r="AB2881" s="52"/>
      <c r="AC2881" s="52"/>
      <c r="AD2881" s="52"/>
      <c r="AE2881" s="52"/>
      <c r="AF2881" s="52"/>
      <c r="AG2881" s="52"/>
      <c r="AH2881" s="52"/>
      <c r="AM2881" s="52"/>
      <c r="AN2881" s="52"/>
    </row>
    <row r="2882" spans="16:40" x14ac:dyDescent="0.2">
      <c r="P2882" s="52"/>
      <c r="Q2882" s="52"/>
      <c r="R2882" s="52"/>
      <c r="S2882" s="52"/>
      <c r="T2882" s="52"/>
      <c r="U2882" s="52"/>
      <c r="V2882" s="52"/>
      <c r="W2882" s="52"/>
      <c r="X2882" s="52"/>
      <c r="Y2882" s="52"/>
      <c r="Z2882" s="52"/>
      <c r="AA2882" s="52"/>
      <c r="AB2882" s="52"/>
      <c r="AC2882" s="52"/>
      <c r="AD2882" s="52"/>
      <c r="AE2882" s="52"/>
      <c r="AF2882" s="52"/>
      <c r="AG2882" s="52"/>
      <c r="AH2882" s="52"/>
      <c r="AM2882" s="52"/>
      <c r="AN2882" s="52"/>
    </row>
    <row r="2883" spans="16:40" x14ac:dyDescent="0.2">
      <c r="P2883" s="52"/>
      <c r="Q2883" s="52"/>
      <c r="R2883" s="52"/>
      <c r="S2883" s="52"/>
      <c r="T2883" s="52"/>
      <c r="U2883" s="52"/>
      <c r="V2883" s="52"/>
      <c r="W2883" s="52"/>
      <c r="X2883" s="52"/>
      <c r="Y2883" s="52"/>
      <c r="Z2883" s="52"/>
      <c r="AA2883" s="52"/>
      <c r="AB2883" s="52"/>
      <c r="AC2883" s="52"/>
      <c r="AD2883" s="52"/>
      <c r="AE2883" s="52"/>
      <c r="AF2883" s="52"/>
      <c r="AG2883" s="52"/>
      <c r="AH2883" s="52"/>
      <c r="AM2883" s="52"/>
      <c r="AN2883" s="52"/>
    </row>
    <row r="2884" spans="16:40" x14ac:dyDescent="0.2">
      <c r="P2884" s="52"/>
      <c r="Q2884" s="52"/>
      <c r="R2884" s="52"/>
      <c r="S2884" s="52"/>
      <c r="T2884" s="52"/>
      <c r="U2884" s="52"/>
      <c r="V2884" s="52"/>
      <c r="W2884" s="52"/>
      <c r="X2884" s="52"/>
      <c r="Y2884" s="52"/>
      <c r="Z2884" s="52"/>
      <c r="AA2884" s="52"/>
      <c r="AB2884" s="52"/>
      <c r="AC2884" s="52"/>
      <c r="AD2884" s="52"/>
      <c r="AE2884" s="52"/>
      <c r="AF2884" s="52"/>
      <c r="AG2884" s="52"/>
      <c r="AH2884" s="52"/>
      <c r="AM2884" s="52"/>
      <c r="AN2884" s="52"/>
    </row>
    <row r="2885" spans="16:40" x14ac:dyDescent="0.2">
      <c r="P2885" s="52"/>
      <c r="Q2885" s="52"/>
      <c r="R2885" s="52"/>
      <c r="S2885" s="52"/>
      <c r="T2885" s="52"/>
      <c r="U2885" s="52"/>
      <c r="V2885" s="52"/>
      <c r="W2885" s="52"/>
      <c r="X2885" s="52"/>
      <c r="Y2885" s="52"/>
      <c r="Z2885" s="52"/>
      <c r="AA2885" s="52"/>
      <c r="AB2885" s="52"/>
      <c r="AC2885" s="52"/>
      <c r="AD2885" s="52"/>
      <c r="AE2885" s="52"/>
      <c r="AF2885" s="52"/>
      <c r="AG2885" s="52"/>
      <c r="AH2885" s="52"/>
      <c r="AM2885" s="52"/>
      <c r="AN2885" s="52"/>
    </row>
    <row r="2886" spans="16:40" x14ac:dyDescent="0.2">
      <c r="P2886" s="52"/>
      <c r="Q2886" s="52"/>
      <c r="R2886" s="52"/>
      <c r="S2886" s="52"/>
      <c r="T2886" s="52"/>
      <c r="U2886" s="52"/>
      <c r="V2886" s="52"/>
      <c r="W2886" s="52"/>
      <c r="X2886" s="52"/>
      <c r="Y2886" s="52"/>
      <c r="Z2886" s="52"/>
      <c r="AA2886" s="52"/>
      <c r="AB2886" s="52"/>
      <c r="AC2886" s="52"/>
      <c r="AD2886" s="52"/>
      <c r="AE2886" s="52"/>
      <c r="AF2886" s="52"/>
      <c r="AG2886" s="52"/>
      <c r="AH2886" s="52"/>
      <c r="AM2886" s="52"/>
      <c r="AN2886" s="52"/>
    </row>
    <row r="2887" spans="16:40" x14ac:dyDescent="0.2">
      <c r="P2887" s="52"/>
      <c r="Q2887" s="52"/>
      <c r="R2887" s="52"/>
      <c r="S2887" s="52"/>
      <c r="T2887" s="52"/>
      <c r="U2887" s="52"/>
      <c r="V2887" s="52"/>
      <c r="W2887" s="52"/>
      <c r="X2887" s="52"/>
      <c r="Y2887" s="52"/>
      <c r="Z2887" s="52"/>
      <c r="AA2887" s="52"/>
      <c r="AB2887" s="52"/>
      <c r="AC2887" s="52"/>
      <c r="AD2887" s="52"/>
      <c r="AE2887" s="52"/>
      <c r="AF2887" s="52"/>
      <c r="AG2887" s="52"/>
      <c r="AH2887" s="52"/>
      <c r="AM2887" s="52"/>
      <c r="AN2887" s="52"/>
    </row>
    <row r="2888" spans="16:40" x14ac:dyDescent="0.2">
      <c r="P2888" s="52"/>
      <c r="Q2888" s="52"/>
      <c r="R2888" s="52"/>
      <c r="S2888" s="52"/>
      <c r="T2888" s="52"/>
      <c r="U2888" s="52"/>
      <c r="V2888" s="52"/>
      <c r="W2888" s="52"/>
      <c r="X2888" s="52"/>
      <c r="Y2888" s="52"/>
      <c r="Z2888" s="52"/>
      <c r="AA2888" s="52"/>
      <c r="AB2888" s="52"/>
      <c r="AC2888" s="52"/>
      <c r="AD2888" s="52"/>
      <c r="AE2888" s="52"/>
      <c r="AF2888" s="52"/>
      <c r="AG2888" s="52"/>
      <c r="AH2888" s="52"/>
      <c r="AM2888" s="52"/>
      <c r="AN2888" s="52"/>
    </row>
    <row r="2889" spans="16:40" x14ac:dyDescent="0.2">
      <c r="P2889" s="52"/>
      <c r="Q2889" s="52"/>
      <c r="R2889" s="52"/>
      <c r="S2889" s="52"/>
      <c r="T2889" s="52"/>
      <c r="U2889" s="52"/>
      <c r="V2889" s="52"/>
      <c r="W2889" s="52"/>
      <c r="X2889" s="52"/>
      <c r="Y2889" s="52"/>
      <c r="Z2889" s="52"/>
      <c r="AA2889" s="52"/>
      <c r="AB2889" s="52"/>
      <c r="AC2889" s="52"/>
      <c r="AD2889" s="52"/>
      <c r="AE2889" s="52"/>
      <c r="AF2889" s="52"/>
      <c r="AG2889" s="52"/>
      <c r="AH2889" s="52"/>
      <c r="AM2889" s="52"/>
      <c r="AN2889" s="52"/>
    </row>
    <row r="2890" spans="16:40" x14ac:dyDescent="0.2">
      <c r="P2890" s="52"/>
      <c r="Q2890" s="52"/>
      <c r="R2890" s="52"/>
      <c r="S2890" s="52"/>
      <c r="T2890" s="52"/>
      <c r="U2890" s="52"/>
      <c r="V2890" s="52"/>
      <c r="W2890" s="52"/>
      <c r="X2890" s="52"/>
      <c r="Y2890" s="52"/>
      <c r="Z2890" s="52"/>
      <c r="AA2890" s="52"/>
      <c r="AB2890" s="52"/>
      <c r="AC2890" s="52"/>
      <c r="AD2890" s="52"/>
      <c r="AE2890" s="52"/>
      <c r="AF2890" s="52"/>
      <c r="AG2890" s="52"/>
      <c r="AH2890" s="52"/>
      <c r="AM2890" s="52"/>
      <c r="AN2890" s="52"/>
    </row>
    <row r="2891" spans="16:40" x14ac:dyDescent="0.2">
      <c r="P2891" s="52"/>
      <c r="Q2891" s="52"/>
      <c r="R2891" s="52"/>
      <c r="S2891" s="52"/>
      <c r="T2891" s="52"/>
      <c r="U2891" s="52"/>
      <c r="V2891" s="52"/>
      <c r="W2891" s="52"/>
      <c r="X2891" s="52"/>
      <c r="Y2891" s="52"/>
      <c r="Z2891" s="52"/>
      <c r="AA2891" s="52"/>
      <c r="AB2891" s="52"/>
      <c r="AC2891" s="52"/>
      <c r="AD2891" s="52"/>
      <c r="AE2891" s="52"/>
      <c r="AF2891" s="52"/>
      <c r="AG2891" s="52"/>
      <c r="AH2891" s="52"/>
      <c r="AM2891" s="52"/>
      <c r="AN2891" s="52"/>
    </row>
    <row r="2892" spans="16:40" x14ac:dyDescent="0.2">
      <c r="P2892" s="52"/>
      <c r="Q2892" s="52"/>
      <c r="R2892" s="52"/>
      <c r="S2892" s="52"/>
      <c r="T2892" s="52"/>
      <c r="U2892" s="52"/>
      <c r="V2892" s="52"/>
      <c r="W2892" s="52"/>
      <c r="X2892" s="52"/>
      <c r="Y2892" s="52"/>
      <c r="Z2892" s="52"/>
      <c r="AA2892" s="52"/>
      <c r="AB2892" s="52"/>
      <c r="AC2892" s="52"/>
      <c r="AD2892" s="52"/>
      <c r="AE2892" s="52"/>
      <c r="AF2892" s="52"/>
      <c r="AG2892" s="52"/>
      <c r="AH2892" s="52"/>
      <c r="AM2892" s="52"/>
      <c r="AN2892" s="52"/>
    </row>
    <row r="2893" spans="16:40" x14ac:dyDescent="0.2">
      <c r="P2893" s="52"/>
      <c r="Q2893" s="52"/>
      <c r="R2893" s="52"/>
      <c r="S2893" s="52"/>
      <c r="T2893" s="52"/>
      <c r="U2893" s="52"/>
      <c r="V2893" s="52"/>
      <c r="W2893" s="52"/>
      <c r="X2893" s="52"/>
      <c r="Y2893" s="52"/>
      <c r="Z2893" s="52"/>
      <c r="AA2893" s="52"/>
      <c r="AB2893" s="52"/>
      <c r="AC2893" s="52"/>
      <c r="AD2893" s="52"/>
      <c r="AE2893" s="52"/>
      <c r="AF2893" s="52"/>
      <c r="AG2893" s="52"/>
      <c r="AH2893" s="52"/>
      <c r="AM2893" s="52"/>
      <c r="AN2893" s="52"/>
    </row>
    <row r="2894" spans="16:40" x14ac:dyDescent="0.2">
      <c r="P2894" s="52"/>
      <c r="Q2894" s="52"/>
      <c r="R2894" s="52"/>
      <c r="S2894" s="52"/>
      <c r="T2894" s="52"/>
      <c r="U2894" s="52"/>
      <c r="V2894" s="52"/>
      <c r="W2894" s="52"/>
      <c r="X2894" s="52"/>
      <c r="Y2894" s="52"/>
      <c r="Z2894" s="52"/>
      <c r="AA2894" s="52"/>
      <c r="AB2894" s="52"/>
      <c r="AC2894" s="52"/>
      <c r="AD2894" s="52"/>
      <c r="AE2894" s="52"/>
      <c r="AF2894" s="52"/>
      <c r="AG2894" s="52"/>
      <c r="AH2894" s="52"/>
      <c r="AM2894" s="52"/>
      <c r="AN2894" s="52"/>
    </row>
    <row r="2895" spans="16:40" x14ac:dyDescent="0.2">
      <c r="P2895" s="52"/>
      <c r="Q2895" s="52"/>
      <c r="R2895" s="52"/>
      <c r="S2895" s="52"/>
      <c r="T2895" s="52"/>
      <c r="U2895" s="52"/>
      <c r="V2895" s="52"/>
      <c r="W2895" s="52"/>
      <c r="X2895" s="52"/>
      <c r="Y2895" s="52"/>
      <c r="Z2895" s="52"/>
      <c r="AA2895" s="52"/>
      <c r="AB2895" s="52"/>
      <c r="AC2895" s="52"/>
      <c r="AD2895" s="52"/>
      <c r="AE2895" s="52"/>
      <c r="AF2895" s="52"/>
      <c r="AG2895" s="52"/>
      <c r="AH2895" s="52"/>
      <c r="AM2895" s="52"/>
      <c r="AN2895" s="52"/>
    </row>
    <row r="2896" spans="16:40" x14ac:dyDescent="0.2">
      <c r="P2896" s="52"/>
      <c r="Q2896" s="52"/>
      <c r="R2896" s="52"/>
      <c r="S2896" s="52"/>
      <c r="T2896" s="52"/>
      <c r="U2896" s="52"/>
      <c r="V2896" s="52"/>
      <c r="W2896" s="52"/>
      <c r="X2896" s="52"/>
      <c r="Y2896" s="52"/>
      <c r="Z2896" s="52"/>
      <c r="AA2896" s="52"/>
      <c r="AB2896" s="52"/>
      <c r="AC2896" s="52"/>
      <c r="AD2896" s="52"/>
      <c r="AE2896" s="52"/>
      <c r="AF2896" s="52"/>
      <c r="AG2896" s="52"/>
      <c r="AH2896" s="52"/>
      <c r="AM2896" s="52"/>
      <c r="AN2896" s="52"/>
    </row>
    <row r="2897" spans="16:40" x14ac:dyDescent="0.2">
      <c r="P2897" s="52"/>
      <c r="Q2897" s="52"/>
      <c r="R2897" s="52"/>
      <c r="S2897" s="52"/>
      <c r="T2897" s="52"/>
      <c r="U2897" s="52"/>
      <c r="V2897" s="52"/>
      <c r="W2897" s="52"/>
      <c r="X2897" s="52"/>
      <c r="Y2897" s="52"/>
      <c r="Z2897" s="52"/>
      <c r="AA2897" s="52"/>
      <c r="AB2897" s="52"/>
      <c r="AC2897" s="52"/>
      <c r="AD2897" s="52"/>
      <c r="AE2897" s="52"/>
      <c r="AF2897" s="52"/>
      <c r="AG2897" s="52"/>
      <c r="AH2897" s="52"/>
      <c r="AM2897" s="52"/>
      <c r="AN2897" s="52"/>
    </row>
    <row r="2898" spans="16:40" x14ac:dyDescent="0.2">
      <c r="P2898" s="52"/>
      <c r="Q2898" s="52"/>
      <c r="R2898" s="52"/>
      <c r="S2898" s="52"/>
      <c r="T2898" s="52"/>
      <c r="U2898" s="52"/>
      <c r="V2898" s="52"/>
      <c r="W2898" s="52"/>
      <c r="X2898" s="52"/>
      <c r="Y2898" s="52"/>
      <c r="Z2898" s="52"/>
      <c r="AA2898" s="52"/>
      <c r="AB2898" s="52"/>
      <c r="AC2898" s="52"/>
      <c r="AD2898" s="52"/>
      <c r="AE2898" s="52"/>
      <c r="AF2898" s="52"/>
      <c r="AG2898" s="52"/>
      <c r="AH2898" s="52"/>
      <c r="AM2898" s="52"/>
      <c r="AN2898" s="52"/>
    </row>
    <row r="2899" spans="16:40" x14ac:dyDescent="0.2">
      <c r="P2899" s="52"/>
      <c r="Q2899" s="52"/>
      <c r="R2899" s="52"/>
      <c r="S2899" s="52"/>
      <c r="T2899" s="52"/>
      <c r="U2899" s="52"/>
      <c r="V2899" s="52"/>
      <c r="W2899" s="52"/>
      <c r="X2899" s="52"/>
      <c r="Y2899" s="52"/>
      <c r="Z2899" s="52"/>
      <c r="AA2899" s="52"/>
      <c r="AB2899" s="52"/>
      <c r="AC2899" s="52"/>
      <c r="AD2899" s="52"/>
      <c r="AE2899" s="52"/>
      <c r="AF2899" s="52"/>
      <c r="AG2899" s="52"/>
      <c r="AH2899" s="52"/>
      <c r="AM2899" s="52"/>
      <c r="AN2899" s="52"/>
    </row>
    <row r="2900" spans="16:40" x14ac:dyDescent="0.2">
      <c r="P2900" s="52"/>
      <c r="Q2900" s="52"/>
      <c r="R2900" s="52"/>
      <c r="S2900" s="52"/>
      <c r="T2900" s="52"/>
      <c r="U2900" s="52"/>
      <c r="V2900" s="52"/>
      <c r="W2900" s="52"/>
      <c r="X2900" s="52"/>
      <c r="Y2900" s="52"/>
      <c r="Z2900" s="52"/>
      <c r="AA2900" s="52"/>
      <c r="AB2900" s="52"/>
      <c r="AC2900" s="52"/>
      <c r="AD2900" s="52"/>
      <c r="AE2900" s="52"/>
      <c r="AF2900" s="52"/>
      <c r="AG2900" s="52"/>
      <c r="AH2900" s="52"/>
      <c r="AM2900" s="52"/>
      <c r="AN2900" s="52"/>
    </row>
    <row r="2901" spans="16:40" x14ac:dyDescent="0.2">
      <c r="P2901" s="52"/>
      <c r="Q2901" s="52"/>
      <c r="R2901" s="52"/>
      <c r="S2901" s="52"/>
      <c r="T2901" s="52"/>
      <c r="U2901" s="52"/>
      <c r="V2901" s="52"/>
      <c r="W2901" s="52"/>
      <c r="X2901" s="52"/>
      <c r="Y2901" s="52"/>
      <c r="Z2901" s="52"/>
      <c r="AA2901" s="52"/>
      <c r="AB2901" s="52"/>
      <c r="AC2901" s="52"/>
      <c r="AD2901" s="52"/>
      <c r="AE2901" s="52"/>
      <c r="AF2901" s="52"/>
      <c r="AG2901" s="52"/>
      <c r="AH2901" s="52"/>
      <c r="AM2901" s="52"/>
      <c r="AN2901" s="52"/>
    </row>
    <row r="2902" spans="16:40" x14ac:dyDescent="0.2">
      <c r="P2902" s="52"/>
      <c r="Q2902" s="52"/>
      <c r="R2902" s="52"/>
      <c r="S2902" s="52"/>
      <c r="T2902" s="52"/>
      <c r="U2902" s="52"/>
      <c r="V2902" s="52"/>
      <c r="W2902" s="52"/>
      <c r="X2902" s="52"/>
      <c r="Y2902" s="52"/>
      <c r="Z2902" s="52"/>
      <c r="AA2902" s="52"/>
      <c r="AB2902" s="52"/>
      <c r="AC2902" s="52"/>
      <c r="AD2902" s="52"/>
      <c r="AE2902" s="52"/>
      <c r="AF2902" s="52"/>
      <c r="AG2902" s="52"/>
      <c r="AH2902" s="52"/>
      <c r="AM2902" s="52"/>
      <c r="AN2902" s="52"/>
    </row>
    <row r="2903" spans="16:40" x14ac:dyDescent="0.2">
      <c r="P2903" s="52"/>
      <c r="Q2903" s="52"/>
      <c r="R2903" s="52"/>
      <c r="S2903" s="52"/>
      <c r="T2903" s="52"/>
      <c r="U2903" s="52"/>
      <c r="V2903" s="52"/>
      <c r="W2903" s="52"/>
      <c r="X2903" s="52"/>
      <c r="Y2903" s="52"/>
      <c r="Z2903" s="52"/>
      <c r="AA2903" s="52"/>
      <c r="AB2903" s="52"/>
      <c r="AC2903" s="52"/>
      <c r="AD2903" s="52"/>
      <c r="AE2903" s="52"/>
      <c r="AF2903" s="52"/>
      <c r="AG2903" s="52"/>
      <c r="AH2903" s="52"/>
      <c r="AM2903" s="52"/>
      <c r="AN2903" s="52"/>
    </row>
    <row r="2904" spans="16:40" x14ac:dyDescent="0.2">
      <c r="P2904" s="52"/>
      <c r="Q2904" s="52"/>
      <c r="R2904" s="52"/>
      <c r="S2904" s="52"/>
      <c r="T2904" s="52"/>
      <c r="U2904" s="52"/>
      <c r="V2904" s="52"/>
      <c r="W2904" s="52"/>
      <c r="X2904" s="52"/>
      <c r="Y2904" s="52"/>
      <c r="Z2904" s="52"/>
      <c r="AA2904" s="52"/>
      <c r="AB2904" s="52"/>
      <c r="AC2904" s="52"/>
      <c r="AD2904" s="52"/>
      <c r="AE2904" s="52"/>
      <c r="AF2904" s="52"/>
      <c r="AG2904" s="52"/>
      <c r="AH2904" s="52"/>
      <c r="AM2904" s="52"/>
      <c r="AN2904" s="52"/>
    </row>
    <row r="2905" spans="16:40" x14ac:dyDescent="0.2">
      <c r="P2905" s="52"/>
      <c r="Q2905" s="52"/>
      <c r="R2905" s="52"/>
      <c r="S2905" s="52"/>
      <c r="T2905" s="52"/>
      <c r="U2905" s="52"/>
      <c r="V2905" s="52"/>
      <c r="W2905" s="52"/>
      <c r="X2905" s="52"/>
      <c r="Y2905" s="52"/>
      <c r="Z2905" s="52"/>
      <c r="AA2905" s="52"/>
      <c r="AB2905" s="52"/>
      <c r="AC2905" s="52"/>
      <c r="AD2905" s="52"/>
      <c r="AE2905" s="52"/>
      <c r="AF2905" s="52"/>
      <c r="AG2905" s="52"/>
      <c r="AH2905" s="52"/>
      <c r="AM2905" s="52"/>
      <c r="AN2905" s="52"/>
    </row>
    <row r="2906" spans="16:40" x14ac:dyDescent="0.2">
      <c r="P2906" s="52"/>
      <c r="Q2906" s="52"/>
      <c r="R2906" s="52"/>
      <c r="S2906" s="52"/>
      <c r="T2906" s="52"/>
      <c r="U2906" s="52"/>
      <c r="V2906" s="52"/>
      <c r="W2906" s="52"/>
      <c r="X2906" s="52"/>
      <c r="Y2906" s="52"/>
      <c r="Z2906" s="52"/>
      <c r="AA2906" s="52"/>
      <c r="AB2906" s="52"/>
      <c r="AC2906" s="52"/>
      <c r="AD2906" s="52"/>
      <c r="AE2906" s="52"/>
      <c r="AF2906" s="52"/>
      <c r="AG2906" s="52"/>
      <c r="AH2906" s="52"/>
      <c r="AM2906" s="52"/>
      <c r="AN2906" s="52"/>
    </row>
    <row r="2907" spans="16:40" x14ac:dyDescent="0.2">
      <c r="P2907" s="52"/>
      <c r="Q2907" s="52"/>
      <c r="R2907" s="52"/>
      <c r="S2907" s="52"/>
      <c r="T2907" s="52"/>
      <c r="U2907" s="52"/>
      <c r="V2907" s="52"/>
      <c r="W2907" s="52"/>
      <c r="X2907" s="52"/>
      <c r="Y2907" s="52"/>
      <c r="Z2907" s="52"/>
      <c r="AA2907" s="52"/>
      <c r="AB2907" s="52"/>
      <c r="AC2907" s="52"/>
      <c r="AD2907" s="52"/>
      <c r="AE2907" s="52"/>
      <c r="AF2907" s="52"/>
      <c r="AG2907" s="52"/>
      <c r="AH2907" s="52"/>
      <c r="AM2907" s="52"/>
      <c r="AN2907" s="52"/>
    </row>
    <row r="2908" spans="16:40" x14ac:dyDescent="0.2">
      <c r="P2908" s="52"/>
      <c r="Q2908" s="52"/>
      <c r="R2908" s="52"/>
      <c r="S2908" s="52"/>
      <c r="T2908" s="52"/>
      <c r="U2908" s="52"/>
      <c r="V2908" s="52"/>
      <c r="W2908" s="52"/>
      <c r="X2908" s="52"/>
      <c r="Y2908" s="52"/>
      <c r="Z2908" s="52"/>
      <c r="AA2908" s="52"/>
      <c r="AB2908" s="52"/>
      <c r="AC2908" s="52"/>
      <c r="AD2908" s="52"/>
      <c r="AE2908" s="52"/>
      <c r="AF2908" s="52"/>
      <c r="AG2908" s="52"/>
      <c r="AH2908" s="52"/>
      <c r="AM2908" s="52"/>
      <c r="AN2908" s="52"/>
    </row>
    <row r="2909" spans="16:40" x14ac:dyDescent="0.2">
      <c r="P2909" s="52"/>
      <c r="Q2909" s="52"/>
      <c r="R2909" s="52"/>
      <c r="S2909" s="52"/>
      <c r="T2909" s="52"/>
      <c r="U2909" s="52"/>
      <c r="V2909" s="52"/>
      <c r="W2909" s="52"/>
      <c r="X2909" s="52"/>
      <c r="Y2909" s="52"/>
      <c r="Z2909" s="52"/>
      <c r="AA2909" s="52"/>
      <c r="AB2909" s="52"/>
      <c r="AC2909" s="52"/>
      <c r="AD2909" s="52"/>
      <c r="AE2909" s="52"/>
      <c r="AF2909" s="52"/>
      <c r="AG2909" s="52"/>
      <c r="AH2909" s="52"/>
      <c r="AM2909" s="52"/>
      <c r="AN2909" s="52"/>
    </row>
    <row r="2910" spans="16:40" x14ac:dyDescent="0.2"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2"/>
      <c r="AA2910" s="52"/>
      <c r="AB2910" s="52"/>
      <c r="AC2910" s="52"/>
      <c r="AD2910" s="52"/>
      <c r="AE2910" s="52"/>
      <c r="AF2910" s="52"/>
      <c r="AG2910" s="52"/>
      <c r="AH2910" s="52"/>
      <c r="AM2910" s="52"/>
      <c r="AN2910" s="52"/>
    </row>
    <row r="2911" spans="16:40" x14ac:dyDescent="0.2">
      <c r="P2911" s="52"/>
      <c r="Q2911" s="52"/>
      <c r="R2911" s="52"/>
      <c r="S2911" s="52"/>
      <c r="T2911" s="52"/>
      <c r="U2911" s="52"/>
      <c r="V2911" s="52"/>
      <c r="W2911" s="52"/>
      <c r="X2911" s="52"/>
      <c r="Y2911" s="52"/>
      <c r="Z2911" s="52"/>
      <c r="AA2911" s="52"/>
      <c r="AB2911" s="52"/>
      <c r="AC2911" s="52"/>
      <c r="AD2911" s="52"/>
      <c r="AE2911" s="52"/>
      <c r="AF2911" s="52"/>
      <c r="AG2911" s="52"/>
      <c r="AH2911" s="52"/>
      <c r="AM2911" s="52"/>
      <c r="AN2911" s="52"/>
    </row>
    <row r="2912" spans="16:40" x14ac:dyDescent="0.2">
      <c r="P2912" s="52"/>
      <c r="Q2912" s="52"/>
      <c r="R2912" s="52"/>
      <c r="S2912" s="52"/>
      <c r="T2912" s="52"/>
      <c r="U2912" s="52"/>
      <c r="V2912" s="52"/>
      <c r="W2912" s="52"/>
      <c r="X2912" s="52"/>
      <c r="Y2912" s="52"/>
      <c r="Z2912" s="52"/>
      <c r="AA2912" s="52"/>
      <c r="AB2912" s="52"/>
      <c r="AC2912" s="52"/>
      <c r="AD2912" s="52"/>
      <c r="AE2912" s="52"/>
      <c r="AF2912" s="52"/>
      <c r="AG2912" s="52"/>
      <c r="AH2912" s="52"/>
      <c r="AM2912" s="52"/>
      <c r="AN2912" s="52"/>
    </row>
    <row r="2913" spans="16:40" x14ac:dyDescent="0.2">
      <c r="P2913" s="52"/>
      <c r="Q2913" s="52"/>
      <c r="R2913" s="52"/>
      <c r="S2913" s="52"/>
      <c r="T2913" s="52"/>
      <c r="U2913" s="52"/>
      <c r="V2913" s="52"/>
      <c r="W2913" s="52"/>
      <c r="X2913" s="52"/>
      <c r="Y2913" s="52"/>
      <c r="Z2913" s="52"/>
      <c r="AA2913" s="52"/>
      <c r="AB2913" s="52"/>
      <c r="AC2913" s="52"/>
      <c r="AD2913" s="52"/>
      <c r="AE2913" s="52"/>
      <c r="AF2913" s="52"/>
      <c r="AG2913" s="52"/>
      <c r="AH2913" s="52"/>
      <c r="AM2913" s="52"/>
      <c r="AN2913" s="52"/>
    </row>
    <row r="2914" spans="16:40" x14ac:dyDescent="0.2">
      <c r="P2914" s="52"/>
      <c r="Q2914" s="52"/>
      <c r="R2914" s="52"/>
      <c r="S2914" s="52"/>
      <c r="T2914" s="52"/>
      <c r="U2914" s="52"/>
      <c r="V2914" s="52"/>
      <c r="W2914" s="52"/>
      <c r="X2914" s="52"/>
      <c r="Y2914" s="52"/>
      <c r="Z2914" s="52"/>
      <c r="AA2914" s="52"/>
      <c r="AB2914" s="52"/>
      <c r="AC2914" s="52"/>
      <c r="AD2914" s="52"/>
      <c r="AE2914" s="52"/>
      <c r="AF2914" s="52"/>
      <c r="AG2914" s="52"/>
      <c r="AH2914" s="52"/>
      <c r="AM2914" s="52"/>
      <c r="AN2914" s="52"/>
    </row>
    <row r="2915" spans="16:40" x14ac:dyDescent="0.2">
      <c r="P2915" s="52"/>
      <c r="Q2915" s="52"/>
      <c r="R2915" s="52"/>
      <c r="S2915" s="52"/>
      <c r="T2915" s="52"/>
      <c r="U2915" s="52"/>
      <c r="V2915" s="52"/>
      <c r="W2915" s="52"/>
      <c r="X2915" s="52"/>
      <c r="Y2915" s="52"/>
      <c r="Z2915" s="52"/>
      <c r="AA2915" s="52"/>
      <c r="AB2915" s="52"/>
      <c r="AC2915" s="52"/>
      <c r="AD2915" s="52"/>
      <c r="AE2915" s="52"/>
      <c r="AF2915" s="52"/>
      <c r="AG2915" s="52"/>
      <c r="AH2915" s="52"/>
      <c r="AM2915" s="52"/>
      <c r="AN2915" s="52"/>
    </row>
    <row r="2916" spans="16:40" x14ac:dyDescent="0.2">
      <c r="P2916" s="52"/>
      <c r="Q2916" s="52"/>
      <c r="R2916" s="52"/>
      <c r="S2916" s="52"/>
      <c r="T2916" s="52"/>
      <c r="U2916" s="52"/>
      <c r="V2916" s="52"/>
      <c r="W2916" s="52"/>
      <c r="X2916" s="52"/>
      <c r="Y2916" s="52"/>
      <c r="Z2916" s="52"/>
      <c r="AA2916" s="52"/>
      <c r="AB2916" s="52"/>
      <c r="AC2916" s="52"/>
      <c r="AD2916" s="52"/>
      <c r="AE2916" s="52"/>
      <c r="AF2916" s="52"/>
      <c r="AG2916" s="52"/>
      <c r="AH2916" s="52"/>
      <c r="AM2916" s="52"/>
      <c r="AN2916" s="52"/>
    </row>
    <row r="2917" spans="16:40" x14ac:dyDescent="0.2">
      <c r="P2917" s="52"/>
      <c r="Q2917" s="52"/>
      <c r="R2917" s="52"/>
      <c r="S2917" s="52"/>
      <c r="T2917" s="52"/>
      <c r="U2917" s="52"/>
      <c r="V2917" s="52"/>
      <c r="W2917" s="52"/>
      <c r="X2917" s="52"/>
      <c r="Y2917" s="52"/>
      <c r="Z2917" s="52"/>
      <c r="AA2917" s="52"/>
      <c r="AB2917" s="52"/>
      <c r="AC2917" s="52"/>
      <c r="AD2917" s="52"/>
      <c r="AE2917" s="52"/>
      <c r="AF2917" s="52"/>
      <c r="AG2917" s="52"/>
      <c r="AH2917" s="52"/>
      <c r="AM2917" s="52"/>
      <c r="AN2917" s="52"/>
    </row>
    <row r="2918" spans="16:40" x14ac:dyDescent="0.2">
      <c r="P2918" s="52"/>
      <c r="Q2918" s="52"/>
      <c r="R2918" s="52"/>
      <c r="S2918" s="52"/>
      <c r="T2918" s="52"/>
      <c r="U2918" s="52"/>
      <c r="V2918" s="52"/>
      <c r="W2918" s="52"/>
      <c r="X2918" s="52"/>
      <c r="Y2918" s="52"/>
      <c r="Z2918" s="52"/>
      <c r="AA2918" s="52"/>
      <c r="AB2918" s="52"/>
      <c r="AC2918" s="52"/>
      <c r="AD2918" s="52"/>
      <c r="AE2918" s="52"/>
      <c r="AF2918" s="52"/>
      <c r="AG2918" s="52"/>
      <c r="AH2918" s="52"/>
      <c r="AM2918" s="52"/>
      <c r="AN2918" s="52"/>
    </row>
    <row r="2919" spans="16:40" x14ac:dyDescent="0.2">
      <c r="P2919" s="52"/>
      <c r="Q2919" s="52"/>
      <c r="R2919" s="52"/>
      <c r="S2919" s="52"/>
      <c r="T2919" s="52"/>
      <c r="U2919" s="52"/>
      <c r="V2919" s="52"/>
      <c r="W2919" s="52"/>
      <c r="X2919" s="52"/>
      <c r="Y2919" s="52"/>
      <c r="Z2919" s="52"/>
      <c r="AA2919" s="52"/>
      <c r="AB2919" s="52"/>
      <c r="AC2919" s="52"/>
      <c r="AD2919" s="52"/>
      <c r="AE2919" s="52"/>
      <c r="AF2919" s="52"/>
      <c r="AG2919" s="52"/>
      <c r="AH2919" s="52"/>
      <c r="AM2919" s="52"/>
      <c r="AN2919" s="52"/>
    </row>
    <row r="2920" spans="16:40" x14ac:dyDescent="0.2">
      <c r="P2920" s="52"/>
      <c r="Q2920" s="52"/>
      <c r="R2920" s="52"/>
      <c r="S2920" s="52"/>
      <c r="T2920" s="52"/>
      <c r="U2920" s="52"/>
      <c r="V2920" s="52"/>
      <c r="W2920" s="52"/>
      <c r="X2920" s="52"/>
      <c r="Y2920" s="52"/>
      <c r="Z2920" s="52"/>
      <c r="AA2920" s="52"/>
      <c r="AB2920" s="52"/>
      <c r="AC2920" s="52"/>
      <c r="AD2920" s="52"/>
      <c r="AE2920" s="52"/>
      <c r="AF2920" s="52"/>
      <c r="AG2920" s="52"/>
      <c r="AH2920" s="52"/>
      <c r="AM2920" s="52"/>
      <c r="AN2920" s="52"/>
    </row>
    <row r="2921" spans="16:40" x14ac:dyDescent="0.2">
      <c r="P2921" s="52"/>
      <c r="Q2921" s="52"/>
      <c r="R2921" s="52"/>
      <c r="S2921" s="52"/>
      <c r="T2921" s="52"/>
      <c r="U2921" s="52"/>
      <c r="V2921" s="52"/>
      <c r="W2921" s="52"/>
      <c r="X2921" s="52"/>
      <c r="Y2921" s="52"/>
      <c r="Z2921" s="52"/>
      <c r="AA2921" s="52"/>
      <c r="AB2921" s="52"/>
      <c r="AC2921" s="52"/>
      <c r="AD2921" s="52"/>
      <c r="AE2921" s="52"/>
      <c r="AF2921" s="52"/>
      <c r="AG2921" s="52"/>
      <c r="AH2921" s="52"/>
      <c r="AM2921" s="52"/>
      <c r="AN2921" s="52"/>
    </row>
    <row r="2922" spans="16:40" x14ac:dyDescent="0.2">
      <c r="P2922" s="52"/>
      <c r="Q2922" s="52"/>
      <c r="R2922" s="52"/>
      <c r="S2922" s="52"/>
      <c r="T2922" s="52"/>
      <c r="U2922" s="52"/>
      <c r="V2922" s="52"/>
      <c r="W2922" s="52"/>
      <c r="X2922" s="52"/>
      <c r="Y2922" s="52"/>
      <c r="Z2922" s="52"/>
      <c r="AA2922" s="52"/>
      <c r="AB2922" s="52"/>
      <c r="AC2922" s="52"/>
      <c r="AD2922" s="52"/>
      <c r="AE2922" s="52"/>
      <c r="AF2922" s="52"/>
      <c r="AG2922" s="52"/>
      <c r="AH2922" s="52"/>
      <c r="AM2922" s="52"/>
      <c r="AN2922" s="52"/>
    </row>
    <row r="2923" spans="16:40" x14ac:dyDescent="0.2">
      <c r="P2923" s="52"/>
      <c r="Q2923" s="52"/>
      <c r="R2923" s="52"/>
      <c r="S2923" s="52"/>
      <c r="T2923" s="52"/>
      <c r="U2923" s="52"/>
      <c r="V2923" s="52"/>
      <c r="W2923" s="52"/>
      <c r="X2923" s="52"/>
      <c r="Y2923" s="52"/>
      <c r="Z2923" s="52"/>
      <c r="AA2923" s="52"/>
      <c r="AB2923" s="52"/>
      <c r="AC2923" s="52"/>
      <c r="AD2923" s="52"/>
      <c r="AE2923" s="52"/>
      <c r="AF2923" s="52"/>
      <c r="AG2923" s="52"/>
      <c r="AH2923" s="52"/>
      <c r="AM2923" s="52"/>
      <c r="AN2923" s="52"/>
    </row>
    <row r="2924" spans="16:40" x14ac:dyDescent="0.2">
      <c r="P2924" s="52"/>
      <c r="Q2924" s="52"/>
      <c r="R2924" s="52"/>
      <c r="S2924" s="52"/>
      <c r="T2924" s="52"/>
      <c r="U2924" s="52"/>
      <c r="V2924" s="52"/>
      <c r="W2924" s="52"/>
      <c r="X2924" s="52"/>
      <c r="Y2924" s="52"/>
      <c r="Z2924" s="52"/>
      <c r="AA2924" s="52"/>
      <c r="AB2924" s="52"/>
      <c r="AC2924" s="52"/>
      <c r="AD2924" s="52"/>
      <c r="AE2924" s="52"/>
      <c r="AF2924" s="52"/>
      <c r="AG2924" s="52"/>
      <c r="AH2924" s="52"/>
      <c r="AM2924" s="52"/>
      <c r="AN2924" s="52"/>
    </row>
    <row r="2925" spans="16:40" x14ac:dyDescent="0.2">
      <c r="P2925" s="52"/>
      <c r="Q2925" s="52"/>
      <c r="R2925" s="52"/>
      <c r="S2925" s="52"/>
      <c r="T2925" s="52"/>
      <c r="U2925" s="52"/>
      <c r="V2925" s="52"/>
      <c r="W2925" s="52"/>
      <c r="X2925" s="52"/>
      <c r="Y2925" s="52"/>
      <c r="Z2925" s="52"/>
      <c r="AA2925" s="52"/>
      <c r="AB2925" s="52"/>
      <c r="AC2925" s="52"/>
      <c r="AD2925" s="52"/>
      <c r="AE2925" s="52"/>
      <c r="AF2925" s="52"/>
      <c r="AG2925" s="52"/>
      <c r="AH2925" s="52"/>
      <c r="AM2925" s="52"/>
      <c r="AN2925" s="52"/>
    </row>
    <row r="2926" spans="16:40" x14ac:dyDescent="0.2">
      <c r="P2926" s="52"/>
      <c r="Q2926" s="52"/>
      <c r="R2926" s="52"/>
      <c r="S2926" s="52"/>
      <c r="T2926" s="52"/>
      <c r="U2926" s="52"/>
      <c r="V2926" s="52"/>
      <c r="W2926" s="52"/>
      <c r="X2926" s="52"/>
      <c r="Y2926" s="52"/>
      <c r="Z2926" s="52"/>
      <c r="AA2926" s="52"/>
      <c r="AB2926" s="52"/>
      <c r="AC2926" s="52"/>
      <c r="AD2926" s="52"/>
      <c r="AE2926" s="52"/>
      <c r="AF2926" s="52"/>
      <c r="AG2926" s="52"/>
      <c r="AH2926" s="52"/>
      <c r="AM2926" s="52"/>
      <c r="AN2926" s="52"/>
    </row>
    <row r="2927" spans="16:40" x14ac:dyDescent="0.2">
      <c r="P2927" s="52"/>
      <c r="Q2927" s="52"/>
      <c r="R2927" s="52"/>
      <c r="S2927" s="52"/>
      <c r="T2927" s="52"/>
      <c r="U2927" s="52"/>
      <c r="V2927" s="52"/>
      <c r="W2927" s="52"/>
      <c r="X2927" s="52"/>
      <c r="Y2927" s="52"/>
      <c r="Z2927" s="52"/>
      <c r="AA2927" s="52"/>
      <c r="AB2927" s="52"/>
      <c r="AC2927" s="52"/>
      <c r="AD2927" s="52"/>
      <c r="AE2927" s="52"/>
      <c r="AF2927" s="52"/>
      <c r="AG2927" s="52"/>
      <c r="AH2927" s="52"/>
      <c r="AM2927" s="52"/>
      <c r="AN2927" s="52"/>
    </row>
    <row r="2928" spans="16:40" x14ac:dyDescent="0.2">
      <c r="P2928" s="52"/>
      <c r="Q2928" s="52"/>
      <c r="R2928" s="52"/>
      <c r="S2928" s="52"/>
      <c r="T2928" s="52"/>
      <c r="U2928" s="52"/>
      <c r="V2928" s="52"/>
      <c r="W2928" s="52"/>
      <c r="X2928" s="52"/>
      <c r="Y2928" s="52"/>
      <c r="Z2928" s="52"/>
      <c r="AA2928" s="52"/>
      <c r="AB2928" s="52"/>
      <c r="AC2928" s="52"/>
      <c r="AD2928" s="52"/>
      <c r="AE2928" s="52"/>
      <c r="AF2928" s="52"/>
      <c r="AG2928" s="52"/>
      <c r="AH2928" s="52"/>
      <c r="AM2928" s="52"/>
      <c r="AN2928" s="52"/>
    </row>
    <row r="2929" spans="16:40" x14ac:dyDescent="0.2">
      <c r="P2929" s="52"/>
      <c r="Q2929" s="52"/>
      <c r="R2929" s="52"/>
      <c r="S2929" s="52"/>
      <c r="T2929" s="52"/>
      <c r="U2929" s="52"/>
      <c r="V2929" s="52"/>
      <c r="W2929" s="52"/>
      <c r="X2929" s="52"/>
      <c r="Y2929" s="52"/>
      <c r="Z2929" s="52"/>
      <c r="AA2929" s="52"/>
      <c r="AB2929" s="52"/>
      <c r="AC2929" s="52"/>
      <c r="AD2929" s="52"/>
      <c r="AE2929" s="52"/>
      <c r="AF2929" s="52"/>
      <c r="AG2929" s="52"/>
      <c r="AH2929" s="52"/>
      <c r="AM2929" s="52"/>
      <c r="AN2929" s="52"/>
    </row>
    <row r="2930" spans="16:40" x14ac:dyDescent="0.2">
      <c r="P2930" s="52"/>
      <c r="Q2930" s="52"/>
      <c r="R2930" s="52"/>
      <c r="S2930" s="52"/>
      <c r="T2930" s="52"/>
      <c r="U2930" s="52"/>
      <c r="V2930" s="52"/>
      <c r="W2930" s="52"/>
      <c r="X2930" s="52"/>
      <c r="Y2930" s="52"/>
      <c r="Z2930" s="52"/>
      <c r="AA2930" s="52"/>
      <c r="AB2930" s="52"/>
      <c r="AC2930" s="52"/>
      <c r="AD2930" s="52"/>
      <c r="AE2930" s="52"/>
      <c r="AF2930" s="52"/>
      <c r="AG2930" s="52"/>
      <c r="AH2930" s="52"/>
      <c r="AM2930" s="52"/>
      <c r="AN2930" s="52"/>
    </row>
    <row r="2931" spans="16:40" x14ac:dyDescent="0.2">
      <c r="P2931" s="52"/>
      <c r="Q2931" s="52"/>
      <c r="R2931" s="52"/>
      <c r="S2931" s="52"/>
      <c r="T2931" s="52"/>
      <c r="U2931" s="52"/>
      <c r="V2931" s="52"/>
      <c r="W2931" s="52"/>
      <c r="X2931" s="52"/>
      <c r="Y2931" s="52"/>
      <c r="Z2931" s="52"/>
      <c r="AA2931" s="52"/>
      <c r="AB2931" s="52"/>
      <c r="AC2931" s="52"/>
      <c r="AD2931" s="52"/>
      <c r="AE2931" s="52"/>
      <c r="AF2931" s="52"/>
      <c r="AG2931" s="52"/>
      <c r="AH2931" s="52"/>
      <c r="AM2931" s="52"/>
      <c r="AN2931" s="52"/>
    </row>
    <row r="2932" spans="16:40" x14ac:dyDescent="0.2">
      <c r="P2932" s="52"/>
      <c r="Q2932" s="52"/>
      <c r="R2932" s="52"/>
      <c r="S2932" s="52"/>
      <c r="T2932" s="52"/>
      <c r="U2932" s="52"/>
      <c r="V2932" s="52"/>
      <c r="W2932" s="52"/>
      <c r="X2932" s="52"/>
      <c r="Y2932" s="52"/>
      <c r="Z2932" s="52"/>
      <c r="AA2932" s="52"/>
      <c r="AB2932" s="52"/>
      <c r="AC2932" s="52"/>
      <c r="AD2932" s="52"/>
      <c r="AE2932" s="52"/>
      <c r="AF2932" s="52"/>
      <c r="AG2932" s="52"/>
      <c r="AH2932" s="52"/>
      <c r="AM2932" s="52"/>
      <c r="AN2932" s="52"/>
    </row>
    <row r="2933" spans="16:40" x14ac:dyDescent="0.2">
      <c r="P2933" s="52"/>
      <c r="Q2933" s="52"/>
      <c r="R2933" s="52"/>
      <c r="S2933" s="52"/>
      <c r="T2933" s="52"/>
      <c r="U2933" s="52"/>
      <c r="V2933" s="52"/>
      <c r="W2933" s="52"/>
      <c r="X2933" s="52"/>
      <c r="Y2933" s="52"/>
      <c r="Z2933" s="52"/>
      <c r="AA2933" s="52"/>
      <c r="AB2933" s="52"/>
      <c r="AC2933" s="52"/>
      <c r="AD2933" s="52"/>
      <c r="AE2933" s="52"/>
      <c r="AF2933" s="52"/>
      <c r="AG2933" s="52"/>
      <c r="AH2933" s="52"/>
      <c r="AM2933" s="52"/>
      <c r="AN2933" s="52"/>
    </row>
    <row r="2934" spans="16:40" x14ac:dyDescent="0.2">
      <c r="P2934" s="52"/>
      <c r="Q2934" s="52"/>
      <c r="R2934" s="52"/>
      <c r="S2934" s="52"/>
      <c r="T2934" s="52"/>
      <c r="U2934" s="52"/>
      <c r="V2934" s="52"/>
      <c r="W2934" s="52"/>
      <c r="X2934" s="52"/>
      <c r="Y2934" s="52"/>
      <c r="Z2934" s="52"/>
      <c r="AA2934" s="52"/>
      <c r="AB2934" s="52"/>
      <c r="AC2934" s="52"/>
      <c r="AD2934" s="52"/>
      <c r="AE2934" s="52"/>
      <c r="AF2934" s="52"/>
      <c r="AG2934" s="52"/>
      <c r="AH2934" s="52"/>
      <c r="AM2934" s="52"/>
      <c r="AN2934" s="52"/>
    </row>
    <row r="2935" spans="16:40" x14ac:dyDescent="0.2">
      <c r="P2935" s="52"/>
      <c r="Q2935" s="52"/>
      <c r="R2935" s="52"/>
      <c r="S2935" s="52"/>
      <c r="T2935" s="52"/>
      <c r="U2935" s="52"/>
      <c r="V2935" s="52"/>
      <c r="W2935" s="52"/>
      <c r="X2935" s="52"/>
      <c r="Y2935" s="52"/>
      <c r="Z2935" s="52"/>
      <c r="AA2935" s="52"/>
      <c r="AB2935" s="52"/>
      <c r="AC2935" s="52"/>
      <c r="AD2935" s="52"/>
      <c r="AE2935" s="52"/>
      <c r="AF2935" s="52"/>
      <c r="AG2935" s="52"/>
      <c r="AH2935" s="52"/>
      <c r="AM2935" s="52"/>
      <c r="AN2935" s="52"/>
    </row>
    <row r="2936" spans="16:40" x14ac:dyDescent="0.2">
      <c r="P2936" s="52"/>
      <c r="Q2936" s="52"/>
      <c r="R2936" s="52"/>
      <c r="S2936" s="52"/>
      <c r="T2936" s="52"/>
      <c r="U2936" s="52"/>
      <c r="V2936" s="52"/>
      <c r="W2936" s="52"/>
      <c r="X2936" s="52"/>
      <c r="Y2936" s="52"/>
      <c r="Z2936" s="52"/>
      <c r="AA2936" s="52"/>
      <c r="AB2936" s="52"/>
      <c r="AC2936" s="52"/>
      <c r="AD2936" s="52"/>
      <c r="AE2936" s="52"/>
      <c r="AF2936" s="52"/>
      <c r="AG2936" s="52"/>
      <c r="AH2936" s="52"/>
      <c r="AM2936" s="52"/>
      <c r="AN2936" s="52"/>
    </row>
    <row r="2937" spans="16:40" x14ac:dyDescent="0.2">
      <c r="P2937" s="52"/>
      <c r="Q2937" s="52"/>
      <c r="R2937" s="52"/>
      <c r="S2937" s="52"/>
      <c r="T2937" s="52"/>
      <c r="U2937" s="52"/>
      <c r="V2937" s="52"/>
      <c r="W2937" s="52"/>
      <c r="X2937" s="52"/>
      <c r="Y2937" s="52"/>
      <c r="Z2937" s="52"/>
      <c r="AA2937" s="52"/>
      <c r="AB2937" s="52"/>
      <c r="AC2937" s="52"/>
      <c r="AD2937" s="52"/>
      <c r="AE2937" s="52"/>
      <c r="AF2937" s="52"/>
      <c r="AG2937" s="52"/>
      <c r="AH2937" s="52"/>
      <c r="AM2937" s="52"/>
      <c r="AN2937" s="52"/>
    </row>
    <row r="2938" spans="16:40" x14ac:dyDescent="0.2">
      <c r="P2938" s="52"/>
      <c r="Q2938" s="52"/>
      <c r="R2938" s="52"/>
      <c r="S2938" s="52"/>
      <c r="T2938" s="52"/>
      <c r="U2938" s="52"/>
      <c r="V2938" s="52"/>
      <c r="W2938" s="52"/>
      <c r="X2938" s="52"/>
      <c r="Y2938" s="52"/>
      <c r="Z2938" s="52"/>
      <c r="AA2938" s="52"/>
      <c r="AB2938" s="52"/>
      <c r="AC2938" s="52"/>
      <c r="AD2938" s="52"/>
      <c r="AE2938" s="52"/>
      <c r="AF2938" s="52"/>
      <c r="AG2938" s="52"/>
      <c r="AH2938" s="52"/>
      <c r="AM2938" s="52"/>
      <c r="AN2938" s="52"/>
    </row>
    <row r="2939" spans="16:40" x14ac:dyDescent="0.2">
      <c r="P2939" s="52"/>
      <c r="Q2939" s="52"/>
      <c r="R2939" s="52"/>
      <c r="S2939" s="52"/>
      <c r="T2939" s="52"/>
      <c r="U2939" s="52"/>
      <c r="V2939" s="52"/>
      <c r="W2939" s="52"/>
      <c r="X2939" s="52"/>
      <c r="Y2939" s="52"/>
      <c r="Z2939" s="52"/>
      <c r="AA2939" s="52"/>
      <c r="AB2939" s="52"/>
      <c r="AC2939" s="52"/>
      <c r="AD2939" s="52"/>
      <c r="AE2939" s="52"/>
      <c r="AF2939" s="52"/>
      <c r="AG2939" s="52"/>
      <c r="AH2939" s="52"/>
      <c r="AM2939" s="52"/>
      <c r="AN2939" s="52"/>
    </row>
    <row r="2940" spans="16:40" x14ac:dyDescent="0.2">
      <c r="P2940" s="52"/>
      <c r="Q2940" s="52"/>
      <c r="R2940" s="52"/>
      <c r="S2940" s="52"/>
      <c r="T2940" s="52"/>
      <c r="U2940" s="52"/>
      <c r="V2940" s="52"/>
      <c r="W2940" s="52"/>
      <c r="X2940" s="52"/>
      <c r="Y2940" s="52"/>
      <c r="Z2940" s="52"/>
      <c r="AA2940" s="52"/>
      <c r="AB2940" s="52"/>
      <c r="AC2940" s="52"/>
      <c r="AD2940" s="52"/>
      <c r="AE2940" s="52"/>
      <c r="AF2940" s="52"/>
      <c r="AG2940" s="52"/>
      <c r="AH2940" s="52"/>
      <c r="AM2940" s="52"/>
      <c r="AN2940" s="52"/>
    </row>
    <row r="2941" spans="16:40" x14ac:dyDescent="0.2">
      <c r="P2941" s="52"/>
      <c r="Q2941" s="52"/>
      <c r="R2941" s="52"/>
      <c r="S2941" s="52"/>
      <c r="T2941" s="52"/>
      <c r="U2941" s="52"/>
      <c r="V2941" s="52"/>
      <c r="W2941" s="52"/>
      <c r="X2941" s="52"/>
      <c r="Y2941" s="52"/>
      <c r="Z2941" s="52"/>
      <c r="AA2941" s="52"/>
      <c r="AB2941" s="52"/>
      <c r="AC2941" s="52"/>
      <c r="AD2941" s="52"/>
      <c r="AE2941" s="52"/>
      <c r="AF2941" s="52"/>
      <c r="AG2941" s="52"/>
      <c r="AH2941" s="52"/>
      <c r="AM2941" s="52"/>
      <c r="AN2941" s="52"/>
    </row>
    <row r="2942" spans="16:40" x14ac:dyDescent="0.2">
      <c r="P2942" s="52"/>
      <c r="Q2942" s="52"/>
      <c r="R2942" s="52"/>
      <c r="S2942" s="52"/>
      <c r="T2942" s="52"/>
      <c r="U2942" s="52"/>
      <c r="V2942" s="52"/>
      <c r="W2942" s="52"/>
      <c r="X2942" s="52"/>
      <c r="Y2942" s="52"/>
      <c r="Z2942" s="52"/>
      <c r="AA2942" s="52"/>
      <c r="AB2942" s="52"/>
      <c r="AC2942" s="52"/>
      <c r="AD2942" s="52"/>
      <c r="AE2942" s="52"/>
      <c r="AF2942" s="52"/>
      <c r="AG2942" s="52"/>
      <c r="AH2942" s="52"/>
      <c r="AM2942" s="52"/>
      <c r="AN2942" s="52"/>
    </row>
    <row r="2943" spans="16:40" x14ac:dyDescent="0.2">
      <c r="P2943" s="52"/>
      <c r="Q2943" s="52"/>
      <c r="R2943" s="52"/>
      <c r="S2943" s="52"/>
      <c r="T2943" s="52"/>
      <c r="U2943" s="52"/>
      <c r="V2943" s="52"/>
      <c r="W2943" s="52"/>
      <c r="X2943" s="52"/>
      <c r="Y2943" s="52"/>
      <c r="Z2943" s="52"/>
      <c r="AA2943" s="52"/>
      <c r="AB2943" s="52"/>
      <c r="AC2943" s="52"/>
      <c r="AD2943" s="52"/>
      <c r="AE2943" s="52"/>
      <c r="AF2943" s="52"/>
      <c r="AG2943" s="52"/>
      <c r="AH2943" s="52"/>
      <c r="AM2943" s="52"/>
      <c r="AN2943" s="52"/>
    </row>
    <row r="2944" spans="16:40" x14ac:dyDescent="0.2">
      <c r="P2944" s="52"/>
      <c r="Q2944" s="52"/>
      <c r="R2944" s="52"/>
      <c r="S2944" s="52"/>
      <c r="T2944" s="52"/>
      <c r="U2944" s="52"/>
      <c r="V2944" s="52"/>
      <c r="W2944" s="52"/>
      <c r="X2944" s="52"/>
      <c r="Y2944" s="52"/>
      <c r="Z2944" s="52"/>
      <c r="AA2944" s="52"/>
      <c r="AB2944" s="52"/>
      <c r="AC2944" s="52"/>
      <c r="AD2944" s="52"/>
      <c r="AE2944" s="52"/>
      <c r="AF2944" s="52"/>
      <c r="AG2944" s="52"/>
      <c r="AH2944" s="52"/>
      <c r="AM2944" s="52"/>
      <c r="AN2944" s="52"/>
    </row>
    <row r="2945" spans="16:40" x14ac:dyDescent="0.2">
      <c r="P2945" s="52"/>
      <c r="Q2945" s="52"/>
      <c r="R2945" s="52"/>
      <c r="S2945" s="52"/>
      <c r="T2945" s="52"/>
      <c r="U2945" s="52"/>
      <c r="V2945" s="52"/>
      <c r="W2945" s="52"/>
      <c r="X2945" s="52"/>
      <c r="Y2945" s="52"/>
      <c r="Z2945" s="52"/>
      <c r="AA2945" s="52"/>
      <c r="AB2945" s="52"/>
      <c r="AC2945" s="52"/>
      <c r="AD2945" s="52"/>
      <c r="AE2945" s="52"/>
      <c r="AF2945" s="52"/>
      <c r="AG2945" s="52"/>
      <c r="AH2945" s="52"/>
      <c r="AM2945" s="52"/>
      <c r="AN2945" s="52"/>
    </row>
    <row r="2946" spans="16:40" x14ac:dyDescent="0.2">
      <c r="P2946" s="52"/>
      <c r="Q2946" s="52"/>
      <c r="R2946" s="52"/>
      <c r="S2946" s="52"/>
      <c r="T2946" s="52"/>
      <c r="U2946" s="52"/>
      <c r="V2946" s="52"/>
      <c r="W2946" s="52"/>
      <c r="X2946" s="52"/>
      <c r="Y2946" s="52"/>
      <c r="Z2946" s="52"/>
      <c r="AA2946" s="52"/>
      <c r="AB2946" s="52"/>
      <c r="AC2946" s="52"/>
      <c r="AD2946" s="52"/>
      <c r="AE2946" s="52"/>
      <c r="AF2946" s="52"/>
      <c r="AG2946" s="52"/>
      <c r="AH2946" s="52"/>
      <c r="AM2946" s="52"/>
      <c r="AN2946" s="52"/>
    </row>
    <row r="2947" spans="16:40" x14ac:dyDescent="0.2">
      <c r="P2947" s="52"/>
      <c r="Q2947" s="52"/>
      <c r="R2947" s="52"/>
      <c r="S2947" s="52"/>
      <c r="T2947" s="52"/>
      <c r="U2947" s="52"/>
      <c r="V2947" s="52"/>
      <c r="W2947" s="52"/>
      <c r="X2947" s="52"/>
      <c r="Y2947" s="52"/>
      <c r="Z2947" s="52"/>
      <c r="AA2947" s="52"/>
      <c r="AB2947" s="52"/>
      <c r="AC2947" s="52"/>
      <c r="AD2947" s="52"/>
      <c r="AE2947" s="52"/>
      <c r="AF2947" s="52"/>
      <c r="AG2947" s="52"/>
      <c r="AH2947" s="52"/>
      <c r="AM2947" s="52"/>
      <c r="AN2947" s="52"/>
    </row>
    <row r="2948" spans="16:40" x14ac:dyDescent="0.2"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2"/>
      <c r="AA2948" s="52"/>
      <c r="AB2948" s="52"/>
      <c r="AC2948" s="52"/>
      <c r="AD2948" s="52"/>
      <c r="AE2948" s="52"/>
      <c r="AF2948" s="52"/>
      <c r="AG2948" s="52"/>
      <c r="AH2948" s="52"/>
      <c r="AM2948" s="52"/>
      <c r="AN2948" s="52"/>
    </row>
    <row r="2949" spans="16:40" x14ac:dyDescent="0.2">
      <c r="P2949" s="52"/>
      <c r="Q2949" s="52"/>
      <c r="R2949" s="52"/>
      <c r="S2949" s="52"/>
      <c r="T2949" s="52"/>
      <c r="U2949" s="52"/>
      <c r="V2949" s="52"/>
      <c r="W2949" s="52"/>
      <c r="X2949" s="52"/>
      <c r="Y2949" s="52"/>
      <c r="Z2949" s="52"/>
      <c r="AA2949" s="52"/>
      <c r="AB2949" s="52"/>
      <c r="AC2949" s="52"/>
      <c r="AD2949" s="52"/>
      <c r="AE2949" s="52"/>
      <c r="AF2949" s="52"/>
      <c r="AG2949" s="52"/>
      <c r="AH2949" s="52"/>
      <c r="AM2949" s="52"/>
      <c r="AN2949" s="52"/>
    </row>
    <row r="2950" spans="16:40" x14ac:dyDescent="0.2">
      <c r="P2950" s="52"/>
      <c r="Q2950" s="52"/>
      <c r="R2950" s="52"/>
      <c r="S2950" s="52"/>
      <c r="T2950" s="52"/>
      <c r="U2950" s="52"/>
      <c r="V2950" s="52"/>
      <c r="W2950" s="52"/>
      <c r="X2950" s="52"/>
      <c r="Y2950" s="52"/>
      <c r="Z2950" s="52"/>
      <c r="AA2950" s="52"/>
      <c r="AB2950" s="52"/>
      <c r="AC2950" s="52"/>
      <c r="AD2950" s="52"/>
      <c r="AE2950" s="52"/>
      <c r="AF2950" s="52"/>
      <c r="AG2950" s="52"/>
      <c r="AH2950" s="52"/>
      <c r="AM2950" s="52"/>
      <c r="AN2950" s="52"/>
    </row>
    <row r="2951" spans="16:40" x14ac:dyDescent="0.2">
      <c r="P2951" s="52"/>
      <c r="Q2951" s="52"/>
      <c r="R2951" s="52"/>
      <c r="S2951" s="52"/>
      <c r="T2951" s="52"/>
      <c r="U2951" s="52"/>
      <c r="V2951" s="52"/>
      <c r="W2951" s="52"/>
      <c r="X2951" s="52"/>
      <c r="Y2951" s="52"/>
      <c r="Z2951" s="52"/>
      <c r="AA2951" s="52"/>
      <c r="AB2951" s="52"/>
      <c r="AC2951" s="52"/>
      <c r="AD2951" s="52"/>
      <c r="AE2951" s="52"/>
      <c r="AF2951" s="52"/>
      <c r="AG2951" s="52"/>
      <c r="AH2951" s="52"/>
      <c r="AM2951" s="52"/>
      <c r="AN2951" s="52"/>
    </row>
    <row r="2952" spans="16:40" x14ac:dyDescent="0.2">
      <c r="P2952" s="52"/>
      <c r="Q2952" s="52"/>
      <c r="R2952" s="52"/>
      <c r="S2952" s="52"/>
      <c r="T2952" s="52"/>
      <c r="U2952" s="52"/>
      <c r="V2952" s="52"/>
      <c r="W2952" s="52"/>
      <c r="X2952" s="52"/>
      <c r="Y2952" s="52"/>
      <c r="Z2952" s="52"/>
      <c r="AA2952" s="52"/>
      <c r="AB2952" s="52"/>
      <c r="AC2952" s="52"/>
      <c r="AD2952" s="52"/>
      <c r="AE2952" s="52"/>
      <c r="AF2952" s="52"/>
      <c r="AG2952" s="52"/>
      <c r="AH2952" s="52"/>
      <c r="AM2952" s="52"/>
      <c r="AN2952" s="52"/>
    </row>
    <row r="2953" spans="16:40" x14ac:dyDescent="0.2">
      <c r="P2953" s="52"/>
      <c r="Q2953" s="52"/>
      <c r="R2953" s="52"/>
      <c r="S2953" s="52"/>
      <c r="T2953" s="52"/>
      <c r="U2953" s="52"/>
      <c r="V2953" s="52"/>
      <c r="W2953" s="52"/>
      <c r="X2953" s="52"/>
      <c r="Y2953" s="52"/>
      <c r="Z2953" s="52"/>
      <c r="AA2953" s="52"/>
      <c r="AB2953" s="52"/>
      <c r="AC2953" s="52"/>
      <c r="AD2953" s="52"/>
      <c r="AE2953" s="52"/>
      <c r="AF2953" s="52"/>
      <c r="AG2953" s="52"/>
      <c r="AH2953" s="52"/>
      <c r="AM2953" s="52"/>
      <c r="AN2953" s="52"/>
    </row>
    <row r="2954" spans="16:40" x14ac:dyDescent="0.2">
      <c r="P2954" s="52"/>
      <c r="Q2954" s="52"/>
      <c r="R2954" s="52"/>
      <c r="S2954" s="52"/>
      <c r="T2954" s="52"/>
      <c r="U2954" s="52"/>
      <c r="V2954" s="52"/>
      <c r="W2954" s="52"/>
      <c r="X2954" s="52"/>
      <c r="Y2954" s="52"/>
      <c r="Z2954" s="52"/>
      <c r="AA2954" s="52"/>
      <c r="AB2954" s="52"/>
      <c r="AC2954" s="52"/>
      <c r="AD2954" s="52"/>
      <c r="AE2954" s="52"/>
      <c r="AF2954" s="52"/>
      <c r="AG2954" s="52"/>
      <c r="AH2954" s="52"/>
      <c r="AM2954" s="52"/>
      <c r="AN2954" s="52"/>
    </row>
    <row r="2955" spans="16:40" x14ac:dyDescent="0.2">
      <c r="P2955" s="52"/>
      <c r="Q2955" s="52"/>
      <c r="R2955" s="52"/>
      <c r="S2955" s="52"/>
      <c r="T2955" s="52"/>
      <c r="U2955" s="52"/>
      <c r="V2955" s="52"/>
      <c r="W2955" s="52"/>
      <c r="X2955" s="52"/>
      <c r="Y2955" s="52"/>
      <c r="Z2955" s="52"/>
      <c r="AA2955" s="52"/>
      <c r="AB2955" s="52"/>
      <c r="AC2955" s="52"/>
      <c r="AD2955" s="52"/>
      <c r="AE2955" s="52"/>
      <c r="AF2955" s="52"/>
      <c r="AG2955" s="52"/>
      <c r="AH2955" s="52"/>
      <c r="AM2955" s="52"/>
      <c r="AN2955" s="52"/>
    </row>
    <row r="2956" spans="16:40" x14ac:dyDescent="0.2">
      <c r="P2956" s="52"/>
      <c r="Q2956" s="52"/>
      <c r="R2956" s="52"/>
      <c r="S2956" s="52"/>
      <c r="T2956" s="52"/>
      <c r="U2956" s="52"/>
      <c r="V2956" s="52"/>
      <c r="W2956" s="52"/>
      <c r="X2956" s="52"/>
      <c r="Y2956" s="52"/>
      <c r="Z2956" s="52"/>
      <c r="AA2956" s="52"/>
      <c r="AB2956" s="52"/>
      <c r="AC2956" s="52"/>
      <c r="AD2956" s="52"/>
      <c r="AE2956" s="52"/>
      <c r="AF2956" s="52"/>
      <c r="AG2956" s="52"/>
      <c r="AH2956" s="52"/>
      <c r="AM2956" s="52"/>
      <c r="AN2956" s="52"/>
    </row>
    <row r="2957" spans="16:40" x14ac:dyDescent="0.2">
      <c r="P2957" s="52"/>
      <c r="Q2957" s="52"/>
      <c r="R2957" s="52"/>
      <c r="S2957" s="52"/>
      <c r="T2957" s="52"/>
      <c r="U2957" s="52"/>
      <c r="V2957" s="52"/>
      <c r="W2957" s="52"/>
      <c r="X2957" s="52"/>
      <c r="Y2957" s="52"/>
      <c r="Z2957" s="52"/>
      <c r="AA2957" s="52"/>
      <c r="AB2957" s="52"/>
      <c r="AC2957" s="52"/>
      <c r="AD2957" s="52"/>
      <c r="AE2957" s="52"/>
      <c r="AF2957" s="52"/>
      <c r="AG2957" s="52"/>
      <c r="AH2957" s="52"/>
      <c r="AM2957" s="52"/>
      <c r="AN2957" s="52"/>
    </row>
    <row r="2958" spans="16:40" x14ac:dyDescent="0.2">
      <c r="P2958" s="52"/>
      <c r="Q2958" s="52"/>
      <c r="R2958" s="52"/>
      <c r="S2958" s="52"/>
      <c r="T2958" s="52"/>
      <c r="U2958" s="52"/>
      <c r="V2958" s="52"/>
      <c r="W2958" s="52"/>
      <c r="X2958" s="52"/>
      <c r="Y2958" s="52"/>
      <c r="Z2958" s="52"/>
      <c r="AA2958" s="52"/>
      <c r="AB2958" s="52"/>
      <c r="AC2958" s="52"/>
      <c r="AD2958" s="52"/>
      <c r="AE2958" s="52"/>
      <c r="AF2958" s="52"/>
      <c r="AG2958" s="52"/>
      <c r="AH2958" s="52"/>
      <c r="AM2958" s="52"/>
      <c r="AN2958" s="52"/>
    </row>
    <row r="2959" spans="16:40" x14ac:dyDescent="0.2">
      <c r="P2959" s="52"/>
      <c r="Q2959" s="52"/>
      <c r="R2959" s="52"/>
      <c r="S2959" s="52"/>
      <c r="T2959" s="52"/>
      <c r="U2959" s="52"/>
      <c r="V2959" s="52"/>
      <c r="W2959" s="52"/>
      <c r="X2959" s="52"/>
      <c r="Y2959" s="52"/>
      <c r="Z2959" s="52"/>
      <c r="AA2959" s="52"/>
      <c r="AB2959" s="52"/>
      <c r="AC2959" s="52"/>
      <c r="AD2959" s="52"/>
      <c r="AE2959" s="52"/>
      <c r="AF2959" s="52"/>
      <c r="AG2959" s="52"/>
      <c r="AH2959" s="52"/>
      <c r="AM2959" s="52"/>
      <c r="AN2959" s="52"/>
    </row>
    <row r="2960" spans="16:40" x14ac:dyDescent="0.2">
      <c r="P2960" s="52"/>
      <c r="Q2960" s="52"/>
      <c r="R2960" s="52"/>
      <c r="S2960" s="52"/>
      <c r="T2960" s="52"/>
      <c r="U2960" s="52"/>
      <c r="V2960" s="52"/>
      <c r="W2960" s="52"/>
      <c r="X2960" s="52"/>
      <c r="Y2960" s="52"/>
      <c r="Z2960" s="52"/>
      <c r="AA2960" s="52"/>
      <c r="AB2960" s="52"/>
      <c r="AC2960" s="52"/>
      <c r="AD2960" s="52"/>
      <c r="AE2960" s="52"/>
      <c r="AF2960" s="52"/>
      <c r="AG2960" s="52"/>
      <c r="AH2960" s="52"/>
      <c r="AM2960" s="52"/>
      <c r="AN2960" s="52"/>
    </row>
    <row r="2961" spans="16:40" x14ac:dyDescent="0.2">
      <c r="P2961" s="52"/>
      <c r="Q2961" s="52"/>
      <c r="R2961" s="52"/>
      <c r="S2961" s="52"/>
      <c r="T2961" s="52"/>
      <c r="U2961" s="52"/>
      <c r="V2961" s="52"/>
      <c r="W2961" s="52"/>
      <c r="X2961" s="52"/>
      <c r="Y2961" s="52"/>
      <c r="Z2961" s="52"/>
      <c r="AA2961" s="52"/>
      <c r="AB2961" s="52"/>
      <c r="AC2961" s="52"/>
      <c r="AD2961" s="52"/>
      <c r="AE2961" s="52"/>
      <c r="AF2961" s="52"/>
      <c r="AG2961" s="52"/>
      <c r="AH2961" s="52"/>
      <c r="AM2961" s="52"/>
      <c r="AN2961" s="52"/>
    </row>
    <row r="2962" spans="16:40" x14ac:dyDescent="0.2">
      <c r="P2962" s="52"/>
      <c r="Q2962" s="52"/>
      <c r="R2962" s="52"/>
      <c r="S2962" s="52"/>
      <c r="T2962" s="52"/>
      <c r="U2962" s="52"/>
      <c r="V2962" s="52"/>
      <c r="W2962" s="52"/>
      <c r="X2962" s="52"/>
      <c r="Y2962" s="52"/>
      <c r="Z2962" s="52"/>
      <c r="AA2962" s="52"/>
      <c r="AB2962" s="52"/>
      <c r="AC2962" s="52"/>
      <c r="AD2962" s="52"/>
      <c r="AE2962" s="52"/>
      <c r="AF2962" s="52"/>
      <c r="AG2962" s="52"/>
      <c r="AH2962" s="52"/>
      <c r="AM2962" s="52"/>
      <c r="AN2962" s="52"/>
    </row>
    <row r="2963" spans="16:40" x14ac:dyDescent="0.2">
      <c r="P2963" s="52"/>
      <c r="Q2963" s="52"/>
      <c r="R2963" s="52"/>
      <c r="S2963" s="52"/>
      <c r="T2963" s="52"/>
      <c r="U2963" s="52"/>
      <c r="V2963" s="52"/>
      <c r="W2963" s="52"/>
      <c r="X2963" s="52"/>
      <c r="Y2963" s="52"/>
      <c r="Z2963" s="52"/>
      <c r="AA2963" s="52"/>
      <c r="AB2963" s="52"/>
      <c r="AC2963" s="52"/>
      <c r="AD2963" s="52"/>
      <c r="AE2963" s="52"/>
      <c r="AF2963" s="52"/>
      <c r="AG2963" s="52"/>
      <c r="AH2963" s="52"/>
      <c r="AM2963" s="52"/>
      <c r="AN2963" s="52"/>
    </row>
    <row r="2964" spans="16:40" x14ac:dyDescent="0.2">
      <c r="P2964" s="52"/>
      <c r="Q2964" s="52"/>
      <c r="R2964" s="52"/>
      <c r="S2964" s="52"/>
      <c r="T2964" s="52"/>
      <c r="U2964" s="52"/>
      <c r="V2964" s="52"/>
      <c r="W2964" s="52"/>
      <c r="X2964" s="52"/>
      <c r="Y2964" s="52"/>
      <c r="Z2964" s="52"/>
      <c r="AA2964" s="52"/>
      <c r="AB2964" s="52"/>
      <c r="AC2964" s="52"/>
      <c r="AD2964" s="52"/>
      <c r="AE2964" s="52"/>
      <c r="AF2964" s="52"/>
      <c r="AG2964" s="52"/>
      <c r="AH2964" s="52"/>
      <c r="AM2964" s="52"/>
      <c r="AN2964" s="52"/>
    </row>
    <row r="2965" spans="16:40" x14ac:dyDescent="0.2">
      <c r="P2965" s="52"/>
      <c r="Q2965" s="52"/>
      <c r="R2965" s="52"/>
      <c r="S2965" s="52"/>
      <c r="T2965" s="52"/>
      <c r="U2965" s="52"/>
      <c r="V2965" s="52"/>
      <c r="W2965" s="52"/>
      <c r="X2965" s="52"/>
      <c r="Y2965" s="52"/>
      <c r="Z2965" s="52"/>
      <c r="AA2965" s="52"/>
      <c r="AB2965" s="52"/>
      <c r="AC2965" s="52"/>
      <c r="AD2965" s="52"/>
      <c r="AE2965" s="52"/>
      <c r="AF2965" s="52"/>
      <c r="AG2965" s="52"/>
      <c r="AH2965" s="52"/>
      <c r="AM2965" s="52"/>
      <c r="AN2965" s="52"/>
    </row>
    <row r="2966" spans="16:40" x14ac:dyDescent="0.2">
      <c r="P2966" s="52"/>
      <c r="Q2966" s="52"/>
      <c r="R2966" s="52"/>
      <c r="S2966" s="52"/>
      <c r="T2966" s="52"/>
      <c r="U2966" s="52"/>
      <c r="V2966" s="52"/>
      <c r="W2966" s="52"/>
      <c r="X2966" s="52"/>
      <c r="Y2966" s="52"/>
      <c r="Z2966" s="52"/>
      <c r="AA2966" s="52"/>
      <c r="AB2966" s="52"/>
      <c r="AC2966" s="52"/>
      <c r="AD2966" s="52"/>
      <c r="AE2966" s="52"/>
      <c r="AF2966" s="52"/>
      <c r="AG2966" s="52"/>
      <c r="AH2966" s="52"/>
      <c r="AM2966" s="52"/>
      <c r="AN2966" s="52"/>
    </row>
    <row r="2967" spans="16:40" x14ac:dyDescent="0.2">
      <c r="P2967" s="52"/>
      <c r="Q2967" s="52"/>
      <c r="R2967" s="52"/>
      <c r="S2967" s="52"/>
      <c r="T2967" s="52"/>
      <c r="U2967" s="52"/>
      <c r="V2967" s="52"/>
      <c r="W2967" s="52"/>
      <c r="X2967" s="52"/>
      <c r="Y2967" s="52"/>
      <c r="Z2967" s="52"/>
      <c r="AA2967" s="52"/>
      <c r="AB2967" s="52"/>
      <c r="AC2967" s="52"/>
      <c r="AD2967" s="52"/>
      <c r="AE2967" s="52"/>
      <c r="AF2967" s="52"/>
      <c r="AG2967" s="52"/>
      <c r="AH2967" s="52"/>
      <c r="AM2967" s="52"/>
      <c r="AN2967" s="52"/>
    </row>
    <row r="2968" spans="16:40" x14ac:dyDescent="0.2">
      <c r="P2968" s="52"/>
      <c r="Q2968" s="52"/>
      <c r="R2968" s="52"/>
      <c r="S2968" s="52"/>
      <c r="T2968" s="52"/>
      <c r="U2968" s="52"/>
      <c r="V2968" s="52"/>
      <c r="W2968" s="52"/>
      <c r="X2968" s="52"/>
      <c r="Y2968" s="52"/>
      <c r="Z2968" s="52"/>
      <c r="AA2968" s="52"/>
      <c r="AB2968" s="52"/>
      <c r="AC2968" s="52"/>
      <c r="AD2968" s="52"/>
      <c r="AE2968" s="52"/>
      <c r="AF2968" s="52"/>
      <c r="AG2968" s="52"/>
      <c r="AH2968" s="52"/>
      <c r="AM2968" s="52"/>
      <c r="AN2968" s="52"/>
    </row>
    <row r="2969" spans="16:40" x14ac:dyDescent="0.2">
      <c r="P2969" s="52"/>
      <c r="Q2969" s="52"/>
      <c r="R2969" s="52"/>
      <c r="S2969" s="52"/>
      <c r="T2969" s="52"/>
      <c r="U2969" s="52"/>
      <c r="V2969" s="52"/>
      <c r="W2969" s="52"/>
      <c r="X2969" s="52"/>
      <c r="Y2969" s="52"/>
      <c r="Z2969" s="52"/>
      <c r="AA2969" s="52"/>
      <c r="AB2969" s="52"/>
      <c r="AC2969" s="52"/>
      <c r="AD2969" s="52"/>
      <c r="AE2969" s="52"/>
      <c r="AF2969" s="52"/>
      <c r="AG2969" s="52"/>
      <c r="AH2969" s="52"/>
      <c r="AM2969" s="52"/>
      <c r="AN2969" s="52"/>
    </row>
    <row r="2970" spans="16:40" x14ac:dyDescent="0.2">
      <c r="P2970" s="52"/>
      <c r="Q2970" s="52"/>
      <c r="R2970" s="52"/>
      <c r="S2970" s="52"/>
      <c r="T2970" s="52"/>
      <c r="U2970" s="52"/>
      <c r="V2970" s="52"/>
      <c r="W2970" s="52"/>
      <c r="X2970" s="52"/>
      <c r="Y2970" s="52"/>
      <c r="Z2970" s="52"/>
      <c r="AA2970" s="52"/>
      <c r="AB2970" s="52"/>
      <c r="AC2970" s="52"/>
      <c r="AD2970" s="52"/>
      <c r="AE2970" s="52"/>
      <c r="AF2970" s="52"/>
      <c r="AG2970" s="52"/>
      <c r="AH2970" s="52"/>
      <c r="AM2970" s="52"/>
      <c r="AN2970" s="52"/>
    </row>
    <row r="2971" spans="16:40" x14ac:dyDescent="0.2">
      <c r="P2971" s="52"/>
      <c r="Q2971" s="52"/>
      <c r="R2971" s="52"/>
      <c r="S2971" s="52"/>
      <c r="T2971" s="52"/>
      <c r="U2971" s="52"/>
      <c r="V2971" s="52"/>
      <c r="W2971" s="52"/>
      <c r="X2971" s="52"/>
      <c r="Y2971" s="52"/>
      <c r="Z2971" s="52"/>
      <c r="AA2971" s="52"/>
      <c r="AB2971" s="52"/>
      <c r="AC2971" s="52"/>
      <c r="AD2971" s="52"/>
      <c r="AE2971" s="52"/>
      <c r="AF2971" s="52"/>
      <c r="AG2971" s="52"/>
      <c r="AH2971" s="52"/>
      <c r="AM2971" s="52"/>
      <c r="AN2971" s="52"/>
    </row>
    <row r="2972" spans="16:40" x14ac:dyDescent="0.2">
      <c r="P2972" s="52"/>
      <c r="Q2972" s="52"/>
      <c r="R2972" s="52"/>
      <c r="S2972" s="52"/>
      <c r="T2972" s="52"/>
      <c r="U2972" s="52"/>
      <c r="V2972" s="52"/>
      <c r="W2972" s="52"/>
      <c r="X2972" s="52"/>
      <c r="Y2972" s="52"/>
      <c r="Z2972" s="52"/>
      <c r="AA2972" s="52"/>
      <c r="AB2972" s="52"/>
      <c r="AC2972" s="52"/>
      <c r="AD2972" s="52"/>
      <c r="AE2972" s="52"/>
      <c r="AF2972" s="52"/>
      <c r="AG2972" s="52"/>
      <c r="AH2972" s="52"/>
      <c r="AM2972" s="52"/>
      <c r="AN2972" s="52"/>
    </row>
    <row r="2973" spans="16:40" x14ac:dyDescent="0.2">
      <c r="P2973" s="52"/>
      <c r="Q2973" s="52"/>
      <c r="R2973" s="52"/>
      <c r="S2973" s="52"/>
      <c r="T2973" s="52"/>
      <c r="U2973" s="52"/>
      <c r="V2973" s="52"/>
      <c r="W2973" s="52"/>
      <c r="X2973" s="52"/>
      <c r="Y2973" s="52"/>
      <c r="Z2973" s="52"/>
      <c r="AA2973" s="52"/>
      <c r="AB2973" s="52"/>
      <c r="AC2973" s="52"/>
      <c r="AD2973" s="52"/>
      <c r="AE2973" s="52"/>
      <c r="AF2973" s="52"/>
      <c r="AG2973" s="52"/>
      <c r="AH2973" s="52"/>
      <c r="AM2973" s="52"/>
      <c r="AN2973" s="52"/>
    </row>
    <row r="2974" spans="16:40" x14ac:dyDescent="0.2">
      <c r="P2974" s="52"/>
      <c r="Q2974" s="52"/>
      <c r="R2974" s="52"/>
      <c r="S2974" s="52"/>
      <c r="T2974" s="52"/>
      <c r="U2974" s="52"/>
      <c r="V2974" s="52"/>
      <c r="W2974" s="52"/>
      <c r="X2974" s="52"/>
      <c r="Y2974" s="52"/>
      <c r="Z2974" s="52"/>
      <c r="AA2974" s="52"/>
      <c r="AB2974" s="52"/>
      <c r="AC2974" s="52"/>
      <c r="AD2974" s="52"/>
      <c r="AE2974" s="52"/>
      <c r="AF2974" s="52"/>
      <c r="AG2974" s="52"/>
      <c r="AH2974" s="52"/>
      <c r="AM2974" s="52"/>
      <c r="AN2974" s="52"/>
    </row>
    <row r="2975" spans="16:40" x14ac:dyDescent="0.2">
      <c r="P2975" s="52"/>
      <c r="Q2975" s="52"/>
      <c r="R2975" s="52"/>
      <c r="S2975" s="52"/>
      <c r="T2975" s="52"/>
      <c r="U2975" s="52"/>
      <c r="V2975" s="52"/>
      <c r="W2975" s="52"/>
      <c r="X2975" s="52"/>
      <c r="Y2975" s="52"/>
      <c r="Z2975" s="52"/>
      <c r="AA2975" s="52"/>
      <c r="AB2975" s="52"/>
      <c r="AC2975" s="52"/>
      <c r="AD2975" s="52"/>
      <c r="AE2975" s="52"/>
      <c r="AF2975" s="52"/>
      <c r="AG2975" s="52"/>
      <c r="AH2975" s="52"/>
      <c r="AM2975" s="52"/>
      <c r="AN2975" s="52"/>
    </row>
    <row r="2976" spans="16:40" x14ac:dyDescent="0.2">
      <c r="P2976" s="52"/>
      <c r="Q2976" s="52"/>
      <c r="R2976" s="52"/>
      <c r="S2976" s="52"/>
      <c r="T2976" s="52"/>
      <c r="U2976" s="52"/>
      <c r="V2976" s="52"/>
      <c r="W2976" s="52"/>
      <c r="X2976" s="52"/>
      <c r="Y2976" s="52"/>
      <c r="Z2976" s="52"/>
      <c r="AA2976" s="52"/>
      <c r="AB2976" s="52"/>
      <c r="AC2976" s="52"/>
      <c r="AD2976" s="52"/>
      <c r="AE2976" s="52"/>
      <c r="AF2976" s="52"/>
      <c r="AG2976" s="52"/>
      <c r="AH2976" s="52"/>
      <c r="AM2976" s="52"/>
      <c r="AN2976" s="52"/>
    </row>
    <row r="2977" spans="16:40" x14ac:dyDescent="0.2">
      <c r="P2977" s="52"/>
      <c r="Q2977" s="52"/>
      <c r="R2977" s="52"/>
      <c r="S2977" s="52"/>
      <c r="T2977" s="52"/>
      <c r="U2977" s="52"/>
      <c r="V2977" s="52"/>
      <c r="W2977" s="52"/>
      <c r="X2977" s="52"/>
      <c r="Y2977" s="52"/>
      <c r="Z2977" s="52"/>
      <c r="AA2977" s="52"/>
      <c r="AB2977" s="52"/>
      <c r="AC2977" s="52"/>
      <c r="AD2977" s="52"/>
      <c r="AE2977" s="52"/>
      <c r="AF2977" s="52"/>
      <c r="AG2977" s="52"/>
      <c r="AH2977" s="52"/>
      <c r="AM2977" s="52"/>
      <c r="AN2977" s="52"/>
    </row>
    <row r="2978" spans="16:40" x14ac:dyDescent="0.2">
      <c r="P2978" s="52"/>
      <c r="Q2978" s="52"/>
      <c r="R2978" s="52"/>
      <c r="S2978" s="52"/>
      <c r="T2978" s="52"/>
      <c r="U2978" s="52"/>
      <c r="V2978" s="52"/>
      <c r="W2978" s="52"/>
      <c r="X2978" s="52"/>
      <c r="Y2978" s="52"/>
      <c r="Z2978" s="52"/>
      <c r="AA2978" s="52"/>
      <c r="AB2978" s="52"/>
      <c r="AC2978" s="52"/>
      <c r="AD2978" s="52"/>
      <c r="AE2978" s="52"/>
      <c r="AF2978" s="52"/>
      <c r="AG2978" s="52"/>
      <c r="AH2978" s="52"/>
      <c r="AM2978" s="52"/>
      <c r="AN2978" s="52"/>
    </row>
    <row r="2979" spans="16:40" x14ac:dyDescent="0.2">
      <c r="P2979" s="52"/>
      <c r="Q2979" s="52"/>
      <c r="R2979" s="52"/>
      <c r="S2979" s="52"/>
      <c r="T2979" s="52"/>
      <c r="U2979" s="52"/>
      <c r="V2979" s="52"/>
      <c r="W2979" s="52"/>
      <c r="X2979" s="52"/>
      <c r="Y2979" s="52"/>
      <c r="Z2979" s="52"/>
      <c r="AA2979" s="52"/>
      <c r="AB2979" s="52"/>
      <c r="AC2979" s="52"/>
      <c r="AD2979" s="52"/>
      <c r="AE2979" s="52"/>
      <c r="AF2979" s="52"/>
      <c r="AG2979" s="52"/>
      <c r="AH2979" s="52"/>
      <c r="AM2979" s="52"/>
      <c r="AN2979" s="52"/>
    </row>
    <row r="2980" spans="16:40" x14ac:dyDescent="0.2">
      <c r="P2980" s="52"/>
      <c r="Q2980" s="52"/>
      <c r="R2980" s="52"/>
      <c r="S2980" s="52"/>
      <c r="T2980" s="52"/>
      <c r="U2980" s="52"/>
      <c r="V2980" s="52"/>
      <c r="W2980" s="52"/>
      <c r="X2980" s="52"/>
      <c r="Y2980" s="52"/>
      <c r="Z2980" s="52"/>
      <c r="AA2980" s="52"/>
      <c r="AB2980" s="52"/>
      <c r="AC2980" s="52"/>
      <c r="AD2980" s="52"/>
      <c r="AE2980" s="52"/>
      <c r="AF2980" s="52"/>
      <c r="AG2980" s="52"/>
      <c r="AH2980" s="52"/>
      <c r="AM2980" s="52"/>
      <c r="AN2980" s="52"/>
    </row>
    <row r="2981" spans="16:40" x14ac:dyDescent="0.2">
      <c r="P2981" s="52"/>
      <c r="Q2981" s="52"/>
      <c r="R2981" s="52"/>
      <c r="S2981" s="52"/>
      <c r="T2981" s="52"/>
      <c r="U2981" s="52"/>
      <c r="V2981" s="52"/>
      <c r="W2981" s="52"/>
      <c r="X2981" s="52"/>
      <c r="Y2981" s="52"/>
      <c r="Z2981" s="52"/>
      <c r="AA2981" s="52"/>
      <c r="AB2981" s="52"/>
      <c r="AC2981" s="52"/>
      <c r="AD2981" s="52"/>
      <c r="AE2981" s="52"/>
      <c r="AF2981" s="52"/>
      <c r="AG2981" s="52"/>
      <c r="AH2981" s="52"/>
      <c r="AM2981" s="52"/>
      <c r="AN2981" s="52"/>
    </row>
    <row r="2982" spans="16:40" x14ac:dyDescent="0.2">
      <c r="P2982" s="52"/>
      <c r="Q2982" s="52"/>
      <c r="R2982" s="52"/>
      <c r="S2982" s="52"/>
      <c r="T2982" s="52"/>
      <c r="U2982" s="52"/>
      <c r="V2982" s="52"/>
      <c r="W2982" s="52"/>
      <c r="X2982" s="52"/>
      <c r="Y2982" s="52"/>
      <c r="Z2982" s="52"/>
      <c r="AA2982" s="52"/>
      <c r="AB2982" s="52"/>
      <c r="AC2982" s="52"/>
      <c r="AD2982" s="52"/>
      <c r="AE2982" s="52"/>
      <c r="AF2982" s="52"/>
      <c r="AG2982" s="52"/>
      <c r="AH2982" s="52"/>
      <c r="AM2982" s="52"/>
      <c r="AN2982" s="52"/>
    </row>
    <row r="2983" spans="16:40" x14ac:dyDescent="0.2">
      <c r="P2983" s="52"/>
      <c r="Q2983" s="52"/>
      <c r="R2983" s="52"/>
      <c r="S2983" s="52"/>
      <c r="T2983" s="52"/>
      <c r="U2983" s="52"/>
      <c r="V2983" s="52"/>
      <c r="W2983" s="52"/>
      <c r="X2983" s="52"/>
      <c r="Y2983" s="52"/>
      <c r="Z2983" s="52"/>
      <c r="AA2983" s="52"/>
      <c r="AB2983" s="52"/>
      <c r="AC2983" s="52"/>
      <c r="AD2983" s="52"/>
      <c r="AE2983" s="52"/>
      <c r="AF2983" s="52"/>
      <c r="AG2983" s="52"/>
      <c r="AH2983" s="52"/>
      <c r="AM2983" s="52"/>
      <c r="AN2983" s="52"/>
    </row>
    <row r="2984" spans="16:40" x14ac:dyDescent="0.2">
      <c r="P2984" s="52"/>
      <c r="Q2984" s="52"/>
      <c r="R2984" s="52"/>
      <c r="S2984" s="52"/>
      <c r="T2984" s="52"/>
      <c r="U2984" s="52"/>
      <c r="V2984" s="52"/>
      <c r="W2984" s="52"/>
      <c r="X2984" s="52"/>
      <c r="Y2984" s="52"/>
      <c r="Z2984" s="52"/>
      <c r="AA2984" s="52"/>
      <c r="AB2984" s="52"/>
      <c r="AC2984" s="52"/>
      <c r="AD2984" s="52"/>
      <c r="AE2984" s="52"/>
      <c r="AF2984" s="52"/>
      <c r="AG2984" s="52"/>
      <c r="AH2984" s="52"/>
      <c r="AM2984" s="52"/>
      <c r="AN2984" s="52"/>
    </row>
    <row r="2985" spans="16:40" x14ac:dyDescent="0.2">
      <c r="P2985" s="52"/>
      <c r="Q2985" s="52"/>
      <c r="R2985" s="52"/>
      <c r="S2985" s="52"/>
      <c r="T2985" s="52"/>
      <c r="U2985" s="52"/>
      <c r="V2985" s="52"/>
      <c r="W2985" s="52"/>
      <c r="X2985" s="52"/>
      <c r="Y2985" s="52"/>
      <c r="Z2985" s="52"/>
      <c r="AA2985" s="52"/>
      <c r="AB2985" s="52"/>
      <c r="AC2985" s="52"/>
      <c r="AD2985" s="52"/>
      <c r="AE2985" s="52"/>
      <c r="AF2985" s="52"/>
      <c r="AG2985" s="52"/>
      <c r="AH2985" s="52"/>
      <c r="AM2985" s="52"/>
      <c r="AN2985" s="52"/>
    </row>
    <row r="2986" spans="16:40" x14ac:dyDescent="0.2"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2"/>
      <c r="AA2986" s="52"/>
      <c r="AB2986" s="52"/>
      <c r="AC2986" s="52"/>
      <c r="AD2986" s="52"/>
      <c r="AE2986" s="52"/>
      <c r="AF2986" s="52"/>
      <c r="AG2986" s="52"/>
      <c r="AH2986" s="52"/>
      <c r="AM2986" s="52"/>
      <c r="AN2986" s="52"/>
    </row>
    <row r="2987" spans="16:40" x14ac:dyDescent="0.2">
      <c r="P2987" s="52"/>
      <c r="Q2987" s="52"/>
      <c r="R2987" s="52"/>
      <c r="S2987" s="52"/>
      <c r="T2987" s="52"/>
      <c r="U2987" s="52"/>
      <c r="V2987" s="52"/>
      <c r="W2987" s="52"/>
      <c r="X2987" s="52"/>
      <c r="Y2987" s="52"/>
      <c r="Z2987" s="52"/>
      <c r="AA2987" s="52"/>
      <c r="AB2987" s="52"/>
      <c r="AC2987" s="52"/>
      <c r="AD2987" s="52"/>
      <c r="AE2987" s="52"/>
      <c r="AF2987" s="52"/>
      <c r="AG2987" s="52"/>
      <c r="AH2987" s="52"/>
      <c r="AM2987" s="52"/>
      <c r="AN2987" s="52"/>
    </row>
    <row r="2988" spans="16:40" x14ac:dyDescent="0.2">
      <c r="P2988" s="52"/>
      <c r="Q2988" s="52"/>
      <c r="R2988" s="52"/>
      <c r="S2988" s="52"/>
      <c r="T2988" s="52"/>
      <c r="U2988" s="52"/>
      <c r="V2988" s="52"/>
      <c r="W2988" s="52"/>
      <c r="X2988" s="52"/>
      <c r="Y2988" s="52"/>
      <c r="Z2988" s="52"/>
      <c r="AA2988" s="52"/>
      <c r="AB2988" s="52"/>
      <c r="AC2988" s="52"/>
      <c r="AD2988" s="52"/>
      <c r="AE2988" s="52"/>
      <c r="AF2988" s="52"/>
      <c r="AG2988" s="52"/>
      <c r="AH2988" s="52"/>
      <c r="AM2988" s="52"/>
      <c r="AN2988" s="52"/>
    </row>
    <row r="2989" spans="16:40" x14ac:dyDescent="0.2">
      <c r="P2989" s="52"/>
      <c r="Q2989" s="52"/>
      <c r="R2989" s="52"/>
      <c r="S2989" s="52"/>
      <c r="T2989" s="52"/>
      <c r="U2989" s="52"/>
      <c r="V2989" s="52"/>
      <c r="W2989" s="52"/>
      <c r="X2989" s="52"/>
      <c r="Y2989" s="52"/>
      <c r="Z2989" s="52"/>
      <c r="AA2989" s="52"/>
      <c r="AB2989" s="52"/>
      <c r="AC2989" s="52"/>
      <c r="AD2989" s="52"/>
      <c r="AE2989" s="52"/>
      <c r="AF2989" s="52"/>
      <c r="AG2989" s="52"/>
      <c r="AH2989" s="52"/>
      <c r="AM2989" s="52"/>
      <c r="AN2989" s="52"/>
    </row>
    <row r="2990" spans="16:40" x14ac:dyDescent="0.2">
      <c r="P2990" s="52"/>
      <c r="Q2990" s="52"/>
      <c r="R2990" s="52"/>
      <c r="S2990" s="52"/>
      <c r="T2990" s="52"/>
      <c r="U2990" s="52"/>
      <c r="V2990" s="52"/>
      <c r="W2990" s="52"/>
      <c r="X2990" s="52"/>
      <c r="Y2990" s="52"/>
      <c r="Z2990" s="52"/>
      <c r="AA2990" s="52"/>
      <c r="AB2990" s="52"/>
      <c r="AC2990" s="52"/>
      <c r="AD2990" s="52"/>
      <c r="AE2990" s="52"/>
      <c r="AF2990" s="52"/>
      <c r="AG2990" s="52"/>
      <c r="AH2990" s="52"/>
      <c r="AM2990" s="52"/>
      <c r="AN2990" s="52"/>
    </row>
    <row r="2991" spans="16:40" x14ac:dyDescent="0.2">
      <c r="P2991" s="52"/>
      <c r="Q2991" s="52"/>
      <c r="R2991" s="52"/>
      <c r="S2991" s="52"/>
      <c r="T2991" s="52"/>
      <c r="U2991" s="52"/>
      <c r="V2991" s="52"/>
      <c r="W2991" s="52"/>
      <c r="X2991" s="52"/>
      <c r="Y2991" s="52"/>
      <c r="Z2991" s="52"/>
      <c r="AA2991" s="52"/>
      <c r="AB2991" s="52"/>
      <c r="AC2991" s="52"/>
      <c r="AD2991" s="52"/>
      <c r="AE2991" s="52"/>
      <c r="AF2991" s="52"/>
      <c r="AG2991" s="52"/>
      <c r="AH2991" s="52"/>
      <c r="AM2991" s="52"/>
      <c r="AN2991" s="52"/>
    </row>
    <row r="2992" spans="16:40" x14ac:dyDescent="0.2">
      <c r="P2992" s="52"/>
      <c r="Q2992" s="52"/>
      <c r="R2992" s="52"/>
      <c r="S2992" s="52"/>
      <c r="T2992" s="52"/>
      <c r="U2992" s="52"/>
      <c r="V2992" s="52"/>
      <c r="W2992" s="52"/>
      <c r="X2992" s="52"/>
      <c r="Y2992" s="52"/>
      <c r="Z2992" s="52"/>
      <c r="AA2992" s="52"/>
      <c r="AB2992" s="52"/>
      <c r="AC2992" s="52"/>
      <c r="AD2992" s="52"/>
      <c r="AE2992" s="52"/>
      <c r="AF2992" s="52"/>
      <c r="AG2992" s="52"/>
      <c r="AH2992" s="52"/>
      <c r="AM2992" s="52"/>
      <c r="AN2992" s="52"/>
    </row>
    <row r="2993" spans="16:40" x14ac:dyDescent="0.2">
      <c r="P2993" s="52"/>
      <c r="Q2993" s="52"/>
      <c r="R2993" s="52"/>
      <c r="S2993" s="52"/>
      <c r="T2993" s="52"/>
      <c r="U2993" s="52"/>
      <c r="V2993" s="52"/>
      <c r="W2993" s="52"/>
      <c r="X2993" s="52"/>
      <c r="Y2993" s="52"/>
      <c r="Z2993" s="52"/>
      <c r="AA2993" s="52"/>
      <c r="AB2993" s="52"/>
      <c r="AC2993" s="52"/>
      <c r="AD2993" s="52"/>
      <c r="AE2993" s="52"/>
      <c r="AF2993" s="52"/>
      <c r="AG2993" s="52"/>
      <c r="AH2993" s="52"/>
      <c r="AM2993" s="52"/>
      <c r="AN2993" s="52"/>
    </row>
    <row r="2994" spans="16:40" x14ac:dyDescent="0.2">
      <c r="P2994" s="52"/>
      <c r="Q2994" s="52"/>
      <c r="R2994" s="52"/>
      <c r="S2994" s="52"/>
      <c r="T2994" s="52"/>
      <c r="U2994" s="52"/>
      <c r="V2994" s="52"/>
      <c r="W2994" s="52"/>
      <c r="X2994" s="52"/>
      <c r="Y2994" s="52"/>
      <c r="Z2994" s="52"/>
      <c r="AA2994" s="52"/>
      <c r="AB2994" s="52"/>
      <c r="AC2994" s="52"/>
      <c r="AD2994" s="52"/>
      <c r="AE2994" s="52"/>
      <c r="AF2994" s="52"/>
      <c r="AG2994" s="52"/>
      <c r="AH2994" s="52"/>
      <c r="AM2994" s="52"/>
      <c r="AN2994" s="52"/>
    </row>
    <row r="2995" spans="16:40" x14ac:dyDescent="0.2">
      <c r="P2995" s="52"/>
      <c r="Q2995" s="52"/>
      <c r="R2995" s="52"/>
      <c r="S2995" s="52"/>
      <c r="T2995" s="52"/>
      <c r="U2995" s="52"/>
      <c r="V2995" s="52"/>
      <c r="W2995" s="52"/>
      <c r="X2995" s="52"/>
      <c r="Y2995" s="52"/>
      <c r="Z2995" s="52"/>
      <c r="AA2995" s="52"/>
      <c r="AB2995" s="52"/>
      <c r="AC2995" s="52"/>
      <c r="AD2995" s="52"/>
      <c r="AE2995" s="52"/>
      <c r="AF2995" s="52"/>
      <c r="AG2995" s="52"/>
      <c r="AH2995" s="52"/>
      <c r="AM2995" s="52"/>
      <c r="AN2995" s="52"/>
    </row>
    <row r="2996" spans="16:40" x14ac:dyDescent="0.2">
      <c r="P2996" s="52"/>
      <c r="Q2996" s="52"/>
      <c r="R2996" s="52"/>
      <c r="S2996" s="52"/>
      <c r="T2996" s="52"/>
      <c r="U2996" s="52"/>
      <c r="V2996" s="52"/>
      <c r="W2996" s="52"/>
      <c r="X2996" s="52"/>
      <c r="Y2996" s="52"/>
      <c r="Z2996" s="52"/>
      <c r="AA2996" s="52"/>
      <c r="AB2996" s="52"/>
      <c r="AC2996" s="52"/>
      <c r="AD2996" s="52"/>
      <c r="AE2996" s="52"/>
      <c r="AF2996" s="52"/>
      <c r="AG2996" s="52"/>
      <c r="AH2996" s="52"/>
      <c r="AM2996" s="52"/>
      <c r="AN2996" s="52"/>
    </row>
    <row r="2997" spans="16:40" x14ac:dyDescent="0.2">
      <c r="P2997" s="52"/>
      <c r="Q2997" s="52"/>
      <c r="R2997" s="52"/>
      <c r="S2997" s="52"/>
      <c r="T2997" s="52"/>
      <c r="U2997" s="52"/>
      <c r="V2997" s="52"/>
      <c r="W2997" s="52"/>
      <c r="X2997" s="52"/>
      <c r="Y2997" s="52"/>
      <c r="Z2997" s="52"/>
      <c r="AA2997" s="52"/>
      <c r="AB2997" s="52"/>
      <c r="AC2997" s="52"/>
      <c r="AD2997" s="52"/>
      <c r="AE2997" s="52"/>
      <c r="AF2997" s="52"/>
      <c r="AG2997" s="52"/>
      <c r="AH2997" s="52"/>
      <c r="AM2997" s="52"/>
      <c r="AN2997" s="52"/>
    </row>
    <row r="2998" spans="16:40" x14ac:dyDescent="0.2">
      <c r="P2998" s="52"/>
      <c r="Q2998" s="52"/>
      <c r="R2998" s="52"/>
      <c r="S2998" s="52"/>
      <c r="T2998" s="52"/>
      <c r="U2998" s="52"/>
      <c r="V2998" s="52"/>
      <c r="W2998" s="52"/>
      <c r="X2998" s="52"/>
      <c r="Y2998" s="52"/>
      <c r="Z2998" s="52"/>
      <c r="AA2998" s="52"/>
      <c r="AB2998" s="52"/>
      <c r="AC2998" s="52"/>
      <c r="AD2998" s="52"/>
      <c r="AE2998" s="52"/>
      <c r="AF2998" s="52"/>
      <c r="AG2998" s="52"/>
      <c r="AH2998" s="52"/>
      <c r="AM2998" s="52"/>
      <c r="AN2998" s="52"/>
    </row>
    <row r="2999" spans="16:40" x14ac:dyDescent="0.2">
      <c r="P2999" s="52"/>
      <c r="Q2999" s="52"/>
      <c r="R2999" s="52"/>
      <c r="S2999" s="52"/>
      <c r="T2999" s="52"/>
      <c r="U2999" s="52"/>
      <c r="V2999" s="52"/>
      <c r="W2999" s="52"/>
      <c r="X2999" s="52"/>
      <c r="Y2999" s="52"/>
      <c r="Z2999" s="52"/>
      <c r="AA2999" s="52"/>
      <c r="AB2999" s="52"/>
      <c r="AC2999" s="52"/>
      <c r="AD2999" s="52"/>
      <c r="AE2999" s="52"/>
      <c r="AF2999" s="52"/>
      <c r="AG2999" s="52"/>
      <c r="AH2999" s="52"/>
      <c r="AM2999" s="52"/>
      <c r="AN2999" s="52"/>
    </row>
    <row r="3000" spans="16:40" x14ac:dyDescent="0.2">
      <c r="P3000" s="52"/>
      <c r="Q3000" s="52"/>
      <c r="R3000" s="52"/>
      <c r="S3000" s="52"/>
      <c r="T3000" s="52"/>
      <c r="U3000" s="52"/>
      <c r="V3000" s="52"/>
      <c r="W3000" s="52"/>
      <c r="X3000" s="52"/>
      <c r="Y3000" s="52"/>
      <c r="Z3000" s="52"/>
      <c r="AA3000" s="52"/>
      <c r="AB3000" s="52"/>
      <c r="AC3000" s="52"/>
      <c r="AD3000" s="52"/>
      <c r="AE3000" s="52"/>
      <c r="AF3000" s="52"/>
      <c r="AG3000" s="52"/>
      <c r="AH3000" s="52"/>
      <c r="AM3000" s="52"/>
      <c r="AN3000" s="52"/>
    </row>
    <row r="3001" spans="16:40" x14ac:dyDescent="0.2">
      <c r="P3001" s="52"/>
      <c r="Q3001" s="52"/>
      <c r="R3001" s="52"/>
      <c r="S3001" s="52"/>
      <c r="T3001" s="52"/>
      <c r="U3001" s="52"/>
      <c r="V3001" s="52"/>
      <c r="W3001" s="52"/>
      <c r="X3001" s="52"/>
      <c r="Y3001" s="52"/>
      <c r="Z3001" s="52"/>
      <c r="AA3001" s="52"/>
      <c r="AB3001" s="52"/>
      <c r="AC3001" s="52"/>
      <c r="AD3001" s="52"/>
      <c r="AE3001" s="52"/>
      <c r="AF3001" s="52"/>
      <c r="AG3001" s="52"/>
      <c r="AH3001" s="52"/>
      <c r="AM3001" s="52"/>
      <c r="AN3001" s="52"/>
    </row>
    <row r="3002" spans="16:40" x14ac:dyDescent="0.2">
      <c r="P3002" s="52"/>
      <c r="Q3002" s="52"/>
      <c r="R3002" s="52"/>
      <c r="S3002" s="52"/>
      <c r="T3002" s="52"/>
      <c r="U3002" s="52"/>
      <c r="V3002" s="52"/>
      <c r="W3002" s="52"/>
      <c r="X3002" s="52"/>
      <c r="Y3002" s="52"/>
      <c r="Z3002" s="52"/>
      <c r="AA3002" s="52"/>
      <c r="AB3002" s="52"/>
      <c r="AC3002" s="52"/>
      <c r="AD3002" s="52"/>
      <c r="AE3002" s="52"/>
      <c r="AF3002" s="52"/>
      <c r="AG3002" s="52"/>
      <c r="AH3002" s="52"/>
      <c r="AM3002" s="52"/>
      <c r="AN3002" s="52"/>
    </row>
    <row r="3003" spans="16:40" x14ac:dyDescent="0.2">
      <c r="P3003" s="52"/>
      <c r="Q3003" s="52"/>
      <c r="R3003" s="52"/>
      <c r="S3003" s="52"/>
      <c r="T3003" s="52"/>
      <c r="U3003" s="52"/>
      <c r="V3003" s="52"/>
      <c r="W3003" s="52"/>
      <c r="X3003" s="52"/>
      <c r="Y3003" s="52"/>
      <c r="Z3003" s="52"/>
      <c r="AA3003" s="52"/>
      <c r="AB3003" s="52"/>
      <c r="AC3003" s="52"/>
      <c r="AD3003" s="52"/>
      <c r="AE3003" s="52"/>
      <c r="AF3003" s="52"/>
      <c r="AG3003" s="52"/>
      <c r="AH3003" s="52"/>
      <c r="AM3003" s="52"/>
      <c r="AN3003" s="52"/>
    </row>
    <row r="3004" spans="16:40" x14ac:dyDescent="0.2">
      <c r="P3004" s="52"/>
      <c r="Q3004" s="52"/>
      <c r="R3004" s="52"/>
      <c r="S3004" s="52"/>
      <c r="T3004" s="52"/>
      <c r="U3004" s="52"/>
      <c r="V3004" s="52"/>
      <c r="W3004" s="52"/>
      <c r="X3004" s="52"/>
      <c r="Y3004" s="52"/>
      <c r="Z3004" s="52"/>
      <c r="AA3004" s="52"/>
      <c r="AB3004" s="52"/>
      <c r="AC3004" s="52"/>
      <c r="AD3004" s="52"/>
      <c r="AE3004" s="52"/>
      <c r="AF3004" s="52"/>
      <c r="AG3004" s="52"/>
      <c r="AH3004" s="52"/>
      <c r="AM3004" s="52"/>
      <c r="AN3004" s="52"/>
    </row>
    <row r="3005" spans="16:40" x14ac:dyDescent="0.2">
      <c r="P3005" s="52"/>
      <c r="Q3005" s="52"/>
      <c r="R3005" s="52"/>
      <c r="S3005" s="52"/>
      <c r="T3005" s="52"/>
      <c r="U3005" s="52"/>
      <c r="V3005" s="52"/>
      <c r="W3005" s="52"/>
      <c r="X3005" s="52"/>
      <c r="Y3005" s="52"/>
      <c r="Z3005" s="52"/>
      <c r="AA3005" s="52"/>
      <c r="AB3005" s="52"/>
      <c r="AC3005" s="52"/>
      <c r="AD3005" s="52"/>
      <c r="AE3005" s="52"/>
      <c r="AF3005" s="52"/>
      <c r="AG3005" s="52"/>
      <c r="AH3005" s="52"/>
      <c r="AM3005" s="52"/>
      <c r="AN3005" s="52"/>
    </row>
    <row r="3006" spans="16:40" x14ac:dyDescent="0.2">
      <c r="P3006" s="52"/>
      <c r="Q3006" s="52"/>
      <c r="R3006" s="52"/>
      <c r="S3006" s="52"/>
      <c r="T3006" s="52"/>
      <c r="U3006" s="52"/>
      <c r="V3006" s="52"/>
      <c r="W3006" s="52"/>
      <c r="X3006" s="52"/>
      <c r="Y3006" s="52"/>
      <c r="Z3006" s="52"/>
      <c r="AA3006" s="52"/>
      <c r="AB3006" s="52"/>
      <c r="AC3006" s="52"/>
      <c r="AD3006" s="52"/>
      <c r="AE3006" s="52"/>
      <c r="AF3006" s="52"/>
      <c r="AG3006" s="52"/>
      <c r="AH3006" s="52"/>
      <c r="AM3006" s="52"/>
      <c r="AN3006" s="52"/>
    </row>
    <row r="3007" spans="16:40" x14ac:dyDescent="0.2">
      <c r="P3007" s="52"/>
      <c r="Q3007" s="52"/>
      <c r="R3007" s="52"/>
      <c r="S3007" s="52"/>
      <c r="T3007" s="52"/>
      <c r="U3007" s="52"/>
      <c r="V3007" s="52"/>
      <c r="W3007" s="52"/>
      <c r="X3007" s="52"/>
      <c r="Y3007" s="52"/>
      <c r="Z3007" s="52"/>
      <c r="AA3007" s="52"/>
      <c r="AB3007" s="52"/>
      <c r="AC3007" s="52"/>
      <c r="AD3007" s="52"/>
      <c r="AE3007" s="52"/>
      <c r="AF3007" s="52"/>
      <c r="AG3007" s="52"/>
      <c r="AH3007" s="52"/>
      <c r="AM3007" s="52"/>
      <c r="AN3007" s="52"/>
    </row>
    <row r="3008" spans="16:40" x14ac:dyDescent="0.2">
      <c r="P3008" s="52"/>
      <c r="Q3008" s="52"/>
      <c r="R3008" s="52"/>
      <c r="S3008" s="52"/>
      <c r="T3008" s="52"/>
      <c r="U3008" s="52"/>
      <c r="V3008" s="52"/>
      <c r="W3008" s="52"/>
      <c r="X3008" s="52"/>
      <c r="Y3008" s="52"/>
      <c r="Z3008" s="52"/>
      <c r="AA3008" s="52"/>
      <c r="AB3008" s="52"/>
      <c r="AC3008" s="52"/>
      <c r="AD3008" s="52"/>
      <c r="AE3008" s="52"/>
      <c r="AF3008" s="52"/>
      <c r="AG3008" s="52"/>
      <c r="AH3008" s="52"/>
      <c r="AM3008" s="52"/>
      <c r="AN3008" s="52"/>
    </row>
    <row r="3009" spans="16:40" x14ac:dyDescent="0.2">
      <c r="P3009" s="52"/>
      <c r="Q3009" s="52"/>
      <c r="R3009" s="52"/>
      <c r="S3009" s="52"/>
      <c r="T3009" s="52"/>
      <c r="U3009" s="52"/>
      <c r="V3009" s="52"/>
      <c r="W3009" s="52"/>
      <c r="X3009" s="52"/>
      <c r="Y3009" s="52"/>
      <c r="Z3009" s="52"/>
      <c r="AA3009" s="52"/>
      <c r="AB3009" s="52"/>
      <c r="AC3009" s="52"/>
      <c r="AD3009" s="52"/>
      <c r="AE3009" s="52"/>
      <c r="AF3009" s="52"/>
      <c r="AG3009" s="52"/>
      <c r="AH3009" s="52"/>
      <c r="AM3009" s="52"/>
      <c r="AN3009" s="52"/>
    </row>
    <row r="3010" spans="16:40" x14ac:dyDescent="0.2">
      <c r="P3010" s="52"/>
      <c r="Q3010" s="52"/>
      <c r="R3010" s="52"/>
      <c r="S3010" s="52"/>
      <c r="T3010" s="52"/>
      <c r="U3010" s="52"/>
      <c r="V3010" s="52"/>
      <c r="W3010" s="52"/>
      <c r="X3010" s="52"/>
      <c r="Y3010" s="52"/>
      <c r="Z3010" s="52"/>
      <c r="AA3010" s="52"/>
      <c r="AB3010" s="52"/>
      <c r="AC3010" s="52"/>
      <c r="AD3010" s="52"/>
      <c r="AE3010" s="52"/>
      <c r="AF3010" s="52"/>
      <c r="AG3010" s="52"/>
      <c r="AH3010" s="52"/>
      <c r="AM3010" s="52"/>
      <c r="AN3010" s="52"/>
    </row>
    <row r="3011" spans="16:40" x14ac:dyDescent="0.2">
      <c r="P3011" s="52"/>
      <c r="Q3011" s="52"/>
      <c r="R3011" s="52"/>
      <c r="S3011" s="52"/>
      <c r="T3011" s="52"/>
      <c r="U3011" s="52"/>
      <c r="V3011" s="52"/>
      <c r="W3011" s="52"/>
      <c r="X3011" s="52"/>
      <c r="Y3011" s="52"/>
      <c r="Z3011" s="52"/>
      <c r="AA3011" s="52"/>
      <c r="AB3011" s="52"/>
      <c r="AC3011" s="52"/>
      <c r="AD3011" s="52"/>
      <c r="AE3011" s="52"/>
      <c r="AF3011" s="52"/>
      <c r="AG3011" s="52"/>
      <c r="AH3011" s="52"/>
      <c r="AM3011" s="52"/>
      <c r="AN3011" s="52"/>
    </row>
    <row r="3012" spans="16:40" x14ac:dyDescent="0.2">
      <c r="P3012" s="52"/>
      <c r="Q3012" s="52"/>
      <c r="R3012" s="52"/>
      <c r="S3012" s="52"/>
      <c r="T3012" s="52"/>
      <c r="U3012" s="52"/>
      <c r="V3012" s="52"/>
      <c r="W3012" s="52"/>
      <c r="X3012" s="52"/>
      <c r="Y3012" s="52"/>
      <c r="Z3012" s="52"/>
      <c r="AA3012" s="52"/>
      <c r="AB3012" s="52"/>
      <c r="AC3012" s="52"/>
      <c r="AD3012" s="52"/>
      <c r="AE3012" s="52"/>
      <c r="AF3012" s="52"/>
      <c r="AG3012" s="52"/>
      <c r="AH3012" s="52"/>
      <c r="AM3012" s="52"/>
      <c r="AN3012" s="52"/>
    </row>
    <row r="3013" spans="16:40" x14ac:dyDescent="0.2">
      <c r="P3013" s="52"/>
      <c r="Q3013" s="52"/>
      <c r="R3013" s="52"/>
      <c r="S3013" s="52"/>
      <c r="T3013" s="52"/>
      <c r="U3013" s="52"/>
      <c r="V3013" s="52"/>
      <c r="W3013" s="52"/>
      <c r="X3013" s="52"/>
      <c r="Y3013" s="52"/>
      <c r="Z3013" s="52"/>
      <c r="AA3013" s="52"/>
      <c r="AB3013" s="52"/>
      <c r="AC3013" s="52"/>
      <c r="AD3013" s="52"/>
      <c r="AE3013" s="52"/>
      <c r="AF3013" s="52"/>
      <c r="AG3013" s="52"/>
      <c r="AH3013" s="52"/>
      <c r="AM3013" s="52"/>
      <c r="AN3013" s="52"/>
    </row>
    <row r="3014" spans="16:40" x14ac:dyDescent="0.2">
      <c r="P3014" s="52"/>
      <c r="Q3014" s="52"/>
      <c r="R3014" s="52"/>
      <c r="S3014" s="52"/>
      <c r="T3014" s="52"/>
      <c r="U3014" s="52"/>
      <c r="V3014" s="52"/>
      <c r="W3014" s="52"/>
      <c r="X3014" s="52"/>
      <c r="Y3014" s="52"/>
      <c r="Z3014" s="52"/>
      <c r="AA3014" s="52"/>
      <c r="AB3014" s="52"/>
      <c r="AC3014" s="52"/>
      <c r="AD3014" s="52"/>
      <c r="AE3014" s="52"/>
      <c r="AF3014" s="52"/>
      <c r="AG3014" s="52"/>
      <c r="AH3014" s="52"/>
      <c r="AM3014" s="52"/>
      <c r="AN3014" s="52"/>
    </row>
    <row r="3015" spans="16:40" x14ac:dyDescent="0.2">
      <c r="P3015" s="52"/>
      <c r="Q3015" s="52"/>
      <c r="R3015" s="52"/>
      <c r="S3015" s="52"/>
      <c r="T3015" s="52"/>
      <c r="U3015" s="52"/>
      <c r="V3015" s="52"/>
      <c r="W3015" s="52"/>
      <c r="X3015" s="52"/>
      <c r="Y3015" s="52"/>
      <c r="Z3015" s="52"/>
      <c r="AA3015" s="52"/>
      <c r="AB3015" s="52"/>
      <c r="AC3015" s="52"/>
      <c r="AD3015" s="52"/>
      <c r="AE3015" s="52"/>
      <c r="AF3015" s="52"/>
      <c r="AG3015" s="52"/>
      <c r="AH3015" s="52"/>
      <c r="AM3015" s="52"/>
      <c r="AN3015" s="52"/>
    </row>
    <row r="3016" spans="16:40" x14ac:dyDescent="0.2">
      <c r="P3016" s="52"/>
      <c r="Q3016" s="52"/>
      <c r="R3016" s="52"/>
      <c r="S3016" s="52"/>
      <c r="T3016" s="52"/>
      <c r="U3016" s="52"/>
      <c r="V3016" s="52"/>
      <c r="W3016" s="52"/>
      <c r="X3016" s="52"/>
      <c r="Y3016" s="52"/>
      <c r="Z3016" s="52"/>
      <c r="AA3016" s="52"/>
      <c r="AB3016" s="52"/>
      <c r="AC3016" s="52"/>
      <c r="AD3016" s="52"/>
      <c r="AE3016" s="52"/>
      <c r="AF3016" s="52"/>
      <c r="AG3016" s="52"/>
      <c r="AH3016" s="52"/>
      <c r="AM3016" s="52"/>
      <c r="AN3016" s="52"/>
    </row>
    <row r="3017" spans="16:40" x14ac:dyDescent="0.2">
      <c r="P3017" s="52"/>
      <c r="Q3017" s="52"/>
      <c r="R3017" s="52"/>
      <c r="S3017" s="52"/>
      <c r="T3017" s="52"/>
      <c r="U3017" s="52"/>
      <c r="V3017" s="52"/>
      <c r="W3017" s="52"/>
      <c r="X3017" s="52"/>
      <c r="Y3017" s="52"/>
      <c r="Z3017" s="52"/>
      <c r="AA3017" s="52"/>
      <c r="AB3017" s="52"/>
      <c r="AC3017" s="52"/>
      <c r="AD3017" s="52"/>
      <c r="AE3017" s="52"/>
      <c r="AF3017" s="52"/>
      <c r="AG3017" s="52"/>
      <c r="AH3017" s="52"/>
      <c r="AM3017" s="52"/>
      <c r="AN3017" s="52"/>
    </row>
    <row r="3018" spans="16:40" x14ac:dyDescent="0.2">
      <c r="P3018" s="52"/>
      <c r="Q3018" s="52"/>
      <c r="R3018" s="52"/>
      <c r="S3018" s="52"/>
      <c r="T3018" s="52"/>
      <c r="U3018" s="52"/>
      <c r="V3018" s="52"/>
      <c r="W3018" s="52"/>
      <c r="X3018" s="52"/>
      <c r="Y3018" s="52"/>
      <c r="Z3018" s="52"/>
      <c r="AA3018" s="52"/>
      <c r="AB3018" s="52"/>
      <c r="AC3018" s="52"/>
      <c r="AD3018" s="52"/>
      <c r="AE3018" s="52"/>
      <c r="AF3018" s="52"/>
      <c r="AG3018" s="52"/>
      <c r="AH3018" s="52"/>
      <c r="AM3018" s="52"/>
      <c r="AN3018" s="52"/>
    </row>
    <row r="3019" spans="16:40" x14ac:dyDescent="0.2">
      <c r="P3019" s="52"/>
      <c r="Q3019" s="52"/>
      <c r="R3019" s="52"/>
      <c r="S3019" s="52"/>
      <c r="T3019" s="52"/>
      <c r="U3019" s="52"/>
      <c r="V3019" s="52"/>
      <c r="W3019" s="52"/>
      <c r="X3019" s="52"/>
      <c r="Y3019" s="52"/>
      <c r="Z3019" s="52"/>
      <c r="AA3019" s="52"/>
      <c r="AB3019" s="52"/>
      <c r="AC3019" s="52"/>
      <c r="AD3019" s="52"/>
      <c r="AE3019" s="52"/>
      <c r="AF3019" s="52"/>
      <c r="AG3019" s="52"/>
      <c r="AH3019" s="52"/>
      <c r="AM3019" s="52"/>
      <c r="AN3019" s="52"/>
    </row>
    <row r="3020" spans="16:40" x14ac:dyDescent="0.2">
      <c r="P3020" s="52"/>
      <c r="Q3020" s="52"/>
      <c r="R3020" s="52"/>
      <c r="S3020" s="52"/>
      <c r="T3020" s="52"/>
      <c r="U3020" s="52"/>
      <c r="V3020" s="52"/>
      <c r="W3020" s="52"/>
      <c r="X3020" s="52"/>
      <c r="Y3020" s="52"/>
      <c r="Z3020" s="52"/>
      <c r="AA3020" s="52"/>
      <c r="AB3020" s="52"/>
      <c r="AC3020" s="52"/>
      <c r="AD3020" s="52"/>
      <c r="AE3020" s="52"/>
      <c r="AF3020" s="52"/>
      <c r="AG3020" s="52"/>
      <c r="AH3020" s="52"/>
      <c r="AM3020" s="52"/>
      <c r="AN3020" s="52"/>
    </row>
    <row r="3021" spans="16:40" x14ac:dyDescent="0.2">
      <c r="P3021" s="52"/>
      <c r="Q3021" s="52"/>
      <c r="R3021" s="52"/>
      <c r="S3021" s="52"/>
      <c r="T3021" s="52"/>
      <c r="U3021" s="52"/>
      <c r="V3021" s="52"/>
      <c r="W3021" s="52"/>
      <c r="X3021" s="52"/>
      <c r="Y3021" s="52"/>
      <c r="Z3021" s="52"/>
      <c r="AA3021" s="52"/>
      <c r="AB3021" s="52"/>
      <c r="AC3021" s="52"/>
      <c r="AD3021" s="52"/>
      <c r="AE3021" s="52"/>
      <c r="AF3021" s="52"/>
      <c r="AG3021" s="52"/>
      <c r="AH3021" s="52"/>
      <c r="AM3021" s="52"/>
      <c r="AN3021" s="52"/>
    </row>
    <row r="3022" spans="16:40" x14ac:dyDescent="0.2">
      <c r="P3022" s="52"/>
      <c r="Q3022" s="52"/>
      <c r="R3022" s="52"/>
      <c r="S3022" s="52"/>
      <c r="T3022" s="52"/>
      <c r="U3022" s="52"/>
      <c r="V3022" s="52"/>
      <c r="W3022" s="52"/>
      <c r="X3022" s="52"/>
      <c r="Y3022" s="52"/>
      <c r="Z3022" s="52"/>
      <c r="AA3022" s="52"/>
      <c r="AB3022" s="52"/>
      <c r="AC3022" s="52"/>
      <c r="AD3022" s="52"/>
      <c r="AE3022" s="52"/>
      <c r="AF3022" s="52"/>
      <c r="AG3022" s="52"/>
      <c r="AH3022" s="52"/>
      <c r="AM3022" s="52"/>
      <c r="AN3022" s="52"/>
    </row>
    <row r="3023" spans="16:40" x14ac:dyDescent="0.2">
      <c r="P3023" s="52"/>
      <c r="Q3023" s="52"/>
      <c r="R3023" s="52"/>
      <c r="S3023" s="52"/>
      <c r="T3023" s="52"/>
      <c r="U3023" s="52"/>
      <c r="V3023" s="52"/>
      <c r="W3023" s="52"/>
      <c r="X3023" s="52"/>
      <c r="Y3023" s="52"/>
      <c r="Z3023" s="52"/>
      <c r="AA3023" s="52"/>
      <c r="AB3023" s="52"/>
      <c r="AC3023" s="52"/>
      <c r="AD3023" s="52"/>
      <c r="AE3023" s="52"/>
      <c r="AF3023" s="52"/>
      <c r="AG3023" s="52"/>
      <c r="AH3023" s="52"/>
      <c r="AM3023" s="52"/>
      <c r="AN3023" s="52"/>
    </row>
    <row r="3024" spans="16:40" x14ac:dyDescent="0.2"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2"/>
      <c r="AA3024" s="52"/>
      <c r="AB3024" s="52"/>
      <c r="AC3024" s="52"/>
      <c r="AD3024" s="52"/>
      <c r="AE3024" s="52"/>
      <c r="AF3024" s="52"/>
      <c r="AG3024" s="52"/>
      <c r="AH3024" s="52"/>
      <c r="AM3024" s="52"/>
      <c r="AN3024" s="52"/>
    </row>
    <row r="3025" spans="16:40" x14ac:dyDescent="0.2">
      <c r="P3025" s="52"/>
      <c r="Q3025" s="52"/>
      <c r="R3025" s="52"/>
      <c r="S3025" s="52"/>
      <c r="T3025" s="52"/>
      <c r="U3025" s="52"/>
      <c r="V3025" s="52"/>
      <c r="W3025" s="52"/>
      <c r="X3025" s="52"/>
      <c r="Y3025" s="52"/>
      <c r="Z3025" s="52"/>
      <c r="AA3025" s="52"/>
      <c r="AB3025" s="52"/>
      <c r="AC3025" s="52"/>
      <c r="AD3025" s="52"/>
      <c r="AE3025" s="52"/>
      <c r="AF3025" s="52"/>
      <c r="AG3025" s="52"/>
      <c r="AH3025" s="52"/>
      <c r="AM3025" s="52"/>
      <c r="AN3025" s="52"/>
    </row>
    <row r="3026" spans="16:40" x14ac:dyDescent="0.2">
      <c r="P3026" s="52"/>
      <c r="Q3026" s="52"/>
      <c r="R3026" s="52"/>
      <c r="S3026" s="52"/>
      <c r="T3026" s="52"/>
      <c r="U3026" s="52"/>
      <c r="V3026" s="52"/>
      <c r="W3026" s="52"/>
      <c r="X3026" s="52"/>
      <c r="Y3026" s="52"/>
      <c r="Z3026" s="52"/>
      <c r="AA3026" s="52"/>
      <c r="AB3026" s="52"/>
      <c r="AC3026" s="52"/>
      <c r="AD3026" s="52"/>
      <c r="AE3026" s="52"/>
      <c r="AF3026" s="52"/>
      <c r="AG3026" s="52"/>
      <c r="AH3026" s="52"/>
      <c r="AM3026" s="52"/>
      <c r="AN3026" s="52"/>
    </row>
    <row r="3027" spans="16:40" x14ac:dyDescent="0.2">
      <c r="P3027" s="52"/>
      <c r="Q3027" s="52"/>
      <c r="R3027" s="52"/>
      <c r="S3027" s="52"/>
      <c r="T3027" s="52"/>
      <c r="U3027" s="52"/>
      <c r="V3027" s="52"/>
      <c r="W3027" s="52"/>
      <c r="X3027" s="52"/>
      <c r="Y3027" s="52"/>
      <c r="Z3027" s="52"/>
      <c r="AA3027" s="52"/>
      <c r="AB3027" s="52"/>
      <c r="AC3027" s="52"/>
      <c r="AD3027" s="52"/>
      <c r="AE3027" s="52"/>
      <c r="AF3027" s="52"/>
      <c r="AG3027" s="52"/>
      <c r="AH3027" s="52"/>
      <c r="AM3027" s="52"/>
      <c r="AN3027" s="52"/>
    </row>
    <row r="3028" spans="16:40" x14ac:dyDescent="0.2">
      <c r="P3028" s="52"/>
      <c r="Q3028" s="52"/>
      <c r="R3028" s="52"/>
      <c r="S3028" s="52"/>
      <c r="T3028" s="52"/>
      <c r="U3028" s="52"/>
      <c r="V3028" s="52"/>
      <c r="W3028" s="52"/>
      <c r="X3028" s="52"/>
      <c r="Y3028" s="52"/>
      <c r="Z3028" s="52"/>
      <c r="AA3028" s="52"/>
      <c r="AB3028" s="52"/>
      <c r="AC3028" s="52"/>
      <c r="AD3028" s="52"/>
      <c r="AE3028" s="52"/>
      <c r="AF3028" s="52"/>
      <c r="AG3028" s="52"/>
      <c r="AH3028" s="52"/>
      <c r="AM3028" s="52"/>
      <c r="AN3028" s="52"/>
    </row>
    <row r="3029" spans="16:40" x14ac:dyDescent="0.2">
      <c r="P3029" s="52"/>
      <c r="Q3029" s="52"/>
      <c r="R3029" s="52"/>
      <c r="S3029" s="52"/>
      <c r="T3029" s="52"/>
      <c r="U3029" s="52"/>
      <c r="V3029" s="52"/>
      <c r="W3029" s="52"/>
      <c r="X3029" s="52"/>
      <c r="Y3029" s="52"/>
      <c r="Z3029" s="52"/>
      <c r="AA3029" s="52"/>
      <c r="AB3029" s="52"/>
      <c r="AC3029" s="52"/>
      <c r="AD3029" s="52"/>
      <c r="AE3029" s="52"/>
      <c r="AF3029" s="52"/>
      <c r="AG3029" s="52"/>
      <c r="AH3029" s="52"/>
      <c r="AM3029" s="52"/>
      <c r="AN3029" s="52"/>
    </row>
    <row r="3030" spans="16:40" x14ac:dyDescent="0.2">
      <c r="P3030" s="52"/>
      <c r="Q3030" s="52"/>
      <c r="R3030" s="52"/>
      <c r="S3030" s="52"/>
      <c r="T3030" s="52"/>
      <c r="U3030" s="52"/>
      <c r="V3030" s="52"/>
      <c r="W3030" s="52"/>
      <c r="X3030" s="52"/>
      <c r="Y3030" s="52"/>
      <c r="Z3030" s="52"/>
      <c r="AA3030" s="52"/>
      <c r="AB3030" s="52"/>
      <c r="AC3030" s="52"/>
      <c r="AD3030" s="52"/>
      <c r="AE3030" s="52"/>
      <c r="AF3030" s="52"/>
      <c r="AG3030" s="52"/>
      <c r="AH3030" s="52"/>
      <c r="AM3030" s="52"/>
      <c r="AN3030" s="52"/>
    </row>
    <row r="3031" spans="16:40" x14ac:dyDescent="0.2">
      <c r="P3031" s="52"/>
      <c r="Q3031" s="52"/>
      <c r="R3031" s="52"/>
      <c r="S3031" s="52"/>
      <c r="T3031" s="52"/>
      <c r="U3031" s="52"/>
      <c r="V3031" s="52"/>
      <c r="W3031" s="52"/>
      <c r="X3031" s="52"/>
      <c r="Y3031" s="52"/>
      <c r="Z3031" s="52"/>
      <c r="AA3031" s="52"/>
      <c r="AB3031" s="52"/>
      <c r="AC3031" s="52"/>
      <c r="AD3031" s="52"/>
      <c r="AE3031" s="52"/>
      <c r="AF3031" s="52"/>
      <c r="AG3031" s="52"/>
      <c r="AH3031" s="52"/>
      <c r="AM3031" s="52"/>
      <c r="AN3031" s="52"/>
    </row>
    <row r="3032" spans="16:40" x14ac:dyDescent="0.2">
      <c r="P3032" s="52"/>
      <c r="Q3032" s="52"/>
      <c r="R3032" s="52"/>
      <c r="S3032" s="52"/>
      <c r="T3032" s="52"/>
      <c r="U3032" s="52"/>
      <c r="V3032" s="52"/>
      <c r="W3032" s="52"/>
      <c r="X3032" s="52"/>
      <c r="Y3032" s="52"/>
      <c r="Z3032" s="52"/>
      <c r="AA3032" s="52"/>
      <c r="AB3032" s="52"/>
      <c r="AC3032" s="52"/>
      <c r="AD3032" s="52"/>
      <c r="AE3032" s="52"/>
      <c r="AF3032" s="52"/>
      <c r="AG3032" s="52"/>
      <c r="AH3032" s="52"/>
      <c r="AM3032" s="52"/>
      <c r="AN3032" s="52"/>
    </row>
    <row r="3033" spans="16:40" x14ac:dyDescent="0.2">
      <c r="P3033" s="52"/>
      <c r="Q3033" s="52"/>
      <c r="R3033" s="52"/>
      <c r="S3033" s="52"/>
      <c r="T3033" s="52"/>
      <c r="U3033" s="52"/>
      <c r="V3033" s="52"/>
      <c r="W3033" s="52"/>
      <c r="X3033" s="52"/>
      <c r="Y3033" s="52"/>
      <c r="Z3033" s="52"/>
      <c r="AA3033" s="52"/>
      <c r="AB3033" s="52"/>
      <c r="AC3033" s="52"/>
      <c r="AD3033" s="52"/>
      <c r="AE3033" s="52"/>
      <c r="AF3033" s="52"/>
      <c r="AG3033" s="52"/>
      <c r="AH3033" s="52"/>
      <c r="AM3033" s="52"/>
      <c r="AN3033" s="52"/>
    </row>
    <row r="3034" spans="16:40" x14ac:dyDescent="0.2">
      <c r="P3034" s="52"/>
      <c r="Q3034" s="52"/>
      <c r="R3034" s="52"/>
      <c r="S3034" s="52"/>
      <c r="T3034" s="52"/>
      <c r="U3034" s="52"/>
      <c r="V3034" s="52"/>
      <c r="W3034" s="52"/>
      <c r="X3034" s="52"/>
      <c r="Y3034" s="52"/>
      <c r="Z3034" s="52"/>
      <c r="AA3034" s="52"/>
      <c r="AB3034" s="52"/>
      <c r="AC3034" s="52"/>
      <c r="AD3034" s="52"/>
      <c r="AE3034" s="52"/>
      <c r="AF3034" s="52"/>
      <c r="AG3034" s="52"/>
      <c r="AH3034" s="52"/>
      <c r="AM3034" s="52"/>
      <c r="AN3034" s="52"/>
    </row>
    <row r="3035" spans="16:40" x14ac:dyDescent="0.2">
      <c r="P3035" s="52"/>
      <c r="Q3035" s="52"/>
      <c r="R3035" s="52"/>
      <c r="S3035" s="52"/>
      <c r="T3035" s="52"/>
      <c r="U3035" s="52"/>
      <c r="V3035" s="52"/>
      <c r="W3035" s="52"/>
      <c r="X3035" s="52"/>
      <c r="Y3035" s="52"/>
      <c r="Z3035" s="52"/>
      <c r="AA3035" s="52"/>
      <c r="AB3035" s="52"/>
      <c r="AC3035" s="52"/>
      <c r="AD3035" s="52"/>
      <c r="AE3035" s="52"/>
      <c r="AF3035" s="52"/>
      <c r="AG3035" s="52"/>
      <c r="AH3035" s="52"/>
      <c r="AM3035" s="52"/>
      <c r="AN3035" s="52"/>
    </row>
    <row r="3036" spans="16:40" x14ac:dyDescent="0.2">
      <c r="P3036" s="52"/>
      <c r="Q3036" s="52"/>
      <c r="R3036" s="52"/>
      <c r="S3036" s="52"/>
      <c r="T3036" s="52"/>
      <c r="U3036" s="52"/>
      <c r="V3036" s="52"/>
      <c r="W3036" s="52"/>
      <c r="X3036" s="52"/>
      <c r="Y3036" s="52"/>
      <c r="Z3036" s="52"/>
      <c r="AA3036" s="52"/>
      <c r="AB3036" s="52"/>
      <c r="AC3036" s="52"/>
      <c r="AD3036" s="52"/>
      <c r="AE3036" s="52"/>
      <c r="AF3036" s="52"/>
      <c r="AG3036" s="52"/>
      <c r="AH3036" s="52"/>
      <c r="AM3036" s="52"/>
      <c r="AN3036" s="52"/>
    </row>
    <row r="3037" spans="16:40" x14ac:dyDescent="0.2">
      <c r="P3037" s="52"/>
      <c r="Q3037" s="52"/>
      <c r="R3037" s="52"/>
      <c r="S3037" s="52"/>
      <c r="T3037" s="52"/>
      <c r="U3037" s="52"/>
      <c r="V3037" s="52"/>
      <c r="W3037" s="52"/>
      <c r="X3037" s="52"/>
      <c r="Y3037" s="52"/>
      <c r="Z3037" s="52"/>
      <c r="AA3037" s="52"/>
      <c r="AB3037" s="52"/>
      <c r="AC3037" s="52"/>
      <c r="AD3037" s="52"/>
      <c r="AE3037" s="52"/>
      <c r="AF3037" s="52"/>
      <c r="AG3037" s="52"/>
      <c r="AH3037" s="52"/>
      <c r="AM3037" s="52"/>
      <c r="AN3037" s="52"/>
    </row>
    <row r="3038" spans="16:40" x14ac:dyDescent="0.2">
      <c r="P3038" s="52"/>
      <c r="Q3038" s="52"/>
      <c r="R3038" s="52"/>
      <c r="S3038" s="52"/>
      <c r="T3038" s="52"/>
      <c r="U3038" s="52"/>
      <c r="V3038" s="52"/>
      <c r="W3038" s="52"/>
      <c r="X3038" s="52"/>
      <c r="Y3038" s="52"/>
      <c r="Z3038" s="52"/>
      <c r="AA3038" s="52"/>
      <c r="AB3038" s="52"/>
      <c r="AC3038" s="52"/>
      <c r="AD3038" s="52"/>
      <c r="AE3038" s="52"/>
      <c r="AF3038" s="52"/>
      <c r="AG3038" s="52"/>
      <c r="AH3038" s="52"/>
      <c r="AM3038" s="52"/>
      <c r="AN3038" s="52"/>
    </row>
    <row r="3039" spans="16:40" x14ac:dyDescent="0.2">
      <c r="P3039" s="52"/>
      <c r="Q3039" s="52"/>
      <c r="R3039" s="52"/>
      <c r="S3039" s="52"/>
      <c r="T3039" s="52"/>
      <c r="U3039" s="52"/>
      <c r="V3039" s="52"/>
      <c r="W3039" s="52"/>
      <c r="X3039" s="52"/>
      <c r="Y3039" s="52"/>
      <c r="Z3039" s="52"/>
      <c r="AA3039" s="52"/>
      <c r="AB3039" s="52"/>
      <c r="AC3039" s="52"/>
      <c r="AD3039" s="52"/>
      <c r="AE3039" s="52"/>
      <c r="AF3039" s="52"/>
      <c r="AG3039" s="52"/>
      <c r="AH3039" s="52"/>
      <c r="AM3039" s="52"/>
      <c r="AN3039" s="52"/>
    </row>
    <row r="3040" spans="16:40" x14ac:dyDescent="0.2">
      <c r="P3040" s="52"/>
      <c r="Q3040" s="52"/>
      <c r="R3040" s="52"/>
      <c r="S3040" s="52"/>
      <c r="T3040" s="52"/>
      <c r="U3040" s="52"/>
      <c r="V3040" s="52"/>
      <c r="W3040" s="52"/>
      <c r="X3040" s="52"/>
      <c r="Y3040" s="52"/>
      <c r="Z3040" s="52"/>
      <c r="AA3040" s="52"/>
      <c r="AB3040" s="52"/>
      <c r="AC3040" s="52"/>
      <c r="AD3040" s="52"/>
      <c r="AE3040" s="52"/>
      <c r="AF3040" s="52"/>
      <c r="AG3040" s="52"/>
      <c r="AH3040" s="52"/>
      <c r="AM3040" s="52"/>
      <c r="AN3040" s="52"/>
    </row>
    <row r="3041" spans="16:40" x14ac:dyDescent="0.2">
      <c r="P3041" s="52"/>
      <c r="Q3041" s="52"/>
      <c r="R3041" s="52"/>
      <c r="S3041" s="52"/>
      <c r="T3041" s="52"/>
      <c r="U3041" s="52"/>
      <c r="V3041" s="52"/>
      <c r="W3041" s="52"/>
      <c r="X3041" s="52"/>
      <c r="Y3041" s="52"/>
      <c r="Z3041" s="52"/>
      <c r="AA3041" s="52"/>
      <c r="AB3041" s="52"/>
      <c r="AC3041" s="52"/>
      <c r="AD3041" s="52"/>
      <c r="AE3041" s="52"/>
      <c r="AF3041" s="52"/>
      <c r="AG3041" s="52"/>
      <c r="AH3041" s="52"/>
      <c r="AM3041" s="52"/>
      <c r="AN3041" s="52"/>
    </row>
    <row r="3042" spans="16:40" x14ac:dyDescent="0.2">
      <c r="P3042" s="52"/>
      <c r="Q3042" s="52"/>
      <c r="R3042" s="52"/>
      <c r="S3042" s="52"/>
      <c r="T3042" s="52"/>
      <c r="U3042" s="52"/>
      <c r="V3042" s="52"/>
      <c r="W3042" s="52"/>
      <c r="X3042" s="52"/>
      <c r="Y3042" s="52"/>
      <c r="Z3042" s="52"/>
      <c r="AA3042" s="52"/>
      <c r="AB3042" s="52"/>
      <c r="AC3042" s="52"/>
      <c r="AD3042" s="52"/>
      <c r="AE3042" s="52"/>
      <c r="AF3042" s="52"/>
      <c r="AG3042" s="52"/>
      <c r="AH3042" s="52"/>
      <c r="AM3042" s="52"/>
      <c r="AN3042" s="52"/>
    </row>
    <row r="3043" spans="16:40" x14ac:dyDescent="0.2">
      <c r="P3043" s="52"/>
      <c r="Q3043" s="52"/>
      <c r="R3043" s="52"/>
      <c r="S3043" s="52"/>
      <c r="T3043" s="52"/>
      <c r="U3043" s="52"/>
      <c r="V3043" s="52"/>
      <c r="W3043" s="52"/>
      <c r="X3043" s="52"/>
      <c r="Y3043" s="52"/>
      <c r="Z3043" s="52"/>
      <c r="AA3043" s="52"/>
      <c r="AB3043" s="52"/>
      <c r="AC3043" s="52"/>
      <c r="AD3043" s="52"/>
      <c r="AE3043" s="52"/>
      <c r="AF3043" s="52"/>
      <c r="AG3043" s="52"/>
      <c r="AH3043" s="52"/>
      <c r="AM3043" s="52"/>
      <c r="AN3043" s="52"/>
    </row>
    <row r="3044" spans="16:40" x14ac:dyDescent="0.2">
      <c r="P3044" s="52"/>
      <c r="Q3044" s="52"/>
      <c r="R3044" s="52"/>
      <c r="S3044" s="52"/>
      <c r="T3044" s="52"/>
      <c r="U3044" s="52"/>
      <c r="V3044" s="52"/>
      <c r="W3044" s="52"/>
      <c r="X3044" s="52"/>
      <c r="Y3044" s="52"/>
      <c r="Z3044" s="52"/>
      <c r="AA3044" s="52"/>
      <c r="AB3044" s="52"/>
      <c r="AC3044" s="52"/>
      <c r="AD3044" s="52"/>
      <c r="AE3044" s="52"/>
      <c r="AF3044" s="52"/>
      <c r="AG3044" s="52"/>
      <c r="AH3044" s="52"/>
      <c r="AM3044" s="52"/>
      <c r="AN3044" s="52"/>
    </row>
    <row r="3045" spans="16:40" x14ac:dyDescent="0.2">
      <c r="P3045" s="52"/>
      <c r="Q3045" s="52"/>
      <c r="R3045" s="52"/>
      <c r="S3045" s="52"/>
      <c r="T3045" s="52"/>
      <c r="U3045" s="52"/>
      <c r="V3045" s="52"/>
      <c r="W3045" s="52"/>
      <c r="X3045" s="52"/>
      <c r="Y3045" s="52"/>
      <c r="Z3045" s="52"/>
      <c r="AA3045" s="52"/>
      <c r="AB3045" s="52"/>
      <c r="AC3045" s="52"/>
      <c r="AD3045" s="52"/>
      <c r="AE3045" s="52"/>
      <c r="AF3045" s="52"/>
      <c r="AG3045" s="52"/>
      <c r="AH3045" s="52"/>
      <c r="AM3045" s="52"/>
      <c r="AN3045" s="52"/>
    </row>
    <row r="3046" spans="16:40" x14ac:dyDescent="0.2">
      <c r="P3046" s="52"/>
      <c r="Q3046" s="52"/>
      <c r="R3046" s="52"/>
      <c r="S3046" s="52"/>
      <c r="T3046" s="52"/>
      <c r="U3046" s="52"/>
      <c r="V3046" s="52"/>
      <c r="W3046" s="52"/>
      <c r="X3046" s="52"/>
      <c r="Y3046" s="52"/>
      <c r="Z3046" s="52"/>
      <c r="AA3046" s="52"/>
      <c r="AB3046" s="52"/>
      <c r="AC3046" s="52"/>
      <c r="AD3046" s="52"/>
      <c r="AE3046" s="52"/>
      <c r="AF3046" s="52"/>
      <c r="AG3046" s="52"/>
      <c r="AH3046" s="52"/>
      <c r="AM3046" s="52"/>
      <c r="AN3046" s="52"/>
    </row>
    <row r="3047" spans="16:40" x14ac:dyDescent="0.2">
      <c r="P3047" s="52"/>
      <c r="Q3047" s="52"/>
      <c r="R3047" s="52"/>
      <c r="S3047" s="52"/>
      <c r="T3047" s="52"/>
      <c r="U3047" s="52"/>
      <c r="V3047" s="52"/>
      <c r="W3047" s="52"/>
      <c r="X3047" s="52"/>
      <c r="Y3047" s="52"/>
      <c r="Z3047" s="52"/>
      <c r="AA3047" s="52"/>
      <c r="AB3047" s="52"/>
      <c r="AC3047" s="52"/>
      <c r="AD3047" s="52"/>
      <c r="AE3047" s="52"/>
      <c r="AF3047" s="52"/>
      <c r="AG3047" s="52"/>
      <c r="AH3047" s="52"/>
      <c r="AM3047" s="52"/>
      <c r="AN3047" s="52"/>
    </row>
    <row r="3048" spans="16:40" x14ac:dyDescent="0.2">
      <c r="P3048" s="52"/>
      <c r="Q3048" s="52"/>
      <c r="R3048" s="52"/>
      <c r="S3048" s="52"/>
      <c r="T3048" s="52"/>
      <c r="U3048" s="52"/>
      <c r="V3048" s="52"/>
      <c r="W3048" s="52"/>
      <c r="X3048" s="52"/>
      <c r="Y3048" s="52"/>
      <c r="Z3048" s="52"/>
      <c r="AA3048" s="52"/>
      <c r="AB3048" s="52"/>
      <c r="AC3048" s="52"/>
      <c r="AD3048" s="52"/>
      <c r="AE3048" s="52"/>
      <c r="AF3048" s="52"/>
      <c r="AG3048" s="52"/>
      <c r="AH3048" s="52"/>
      <c r="AM3048" s="52"/>
      <c r="AN3048" s="52"/>
    </row>
    <row r="3049" spans="16:40" x14ac:dyDescent="0.2">
      <c r="P3049" s="52"/>
      <c r="Q3049" s="52"/>
      <c r="R3049" s="52"/>
      <c r="S3049" s="52"/>
      <c r="T3049" s="52"/>
      <c r="U3049" s="52"/>
      <c r="V3049" s="52"/>
      <c r="W3049" s="52"/>
      <c r="X3049" s="52"/>
      <c r="Y3049" s="52"/>
      <c r="Z3049" s="52"/>
      <c r="AA3049" s="52"/>
      <c r="AB3049" s="52"/>
      <c r="AC3049" s="52"/>
      <c r="AD3049" s="52"/>
      <c r="AE3049" s="52"/>
      <c r="AF3049" s="52"/>
      <c r="AG3049" s="52"/>
      <c r="AH3049" s="52"/>
      <c r="AM3049" s="52"/>
      <c r="AN3049" s="52"/>
    </row>
    <row r="3050" spans="16:40" x14ac:dyDescent="0.2">
      <c r="P3050" s="52"/>
      <c r="Q3050" s="52"/>
      <c r="R3050" s="52"/>
      <c r="S3050" s="52"/>
      <c r="T3050" s="52"/>
      <c r="U3050" s="52"/>
      <c r="V3050" s="52"/>
      <c r="W3050" s="52"/>
      <c r="X3050" s="52"/>
      <c r="Y3050" s="52"/>
      <c r="Z3050" s="52"/>
      <c r="AA3050" s="52"/>
      <c r="AB3050" s="52"/>
      <c r="AC3050" s="52"/>
      <c r="AD3050" s="52"/>
      <c r="AE3050" s="52"/>
      <c r="AF3050" s="52"/>
      <c r="AG3050" s="52"/>
      <c r="AH3050" s="52"/>
      <c r="AM3050" s="52"/>
      <c r="AN3050" s="52"/>
    </row>
    <row r="3051" spans="16:40" x14ac:dyDescent="0.2">
      <c r="P3051" s="52"/>
      <c r="Q3051" s="52"/>
      <c r="R3051" s="52"/>
      <c r="S3051" s="52"/>
      <c r="T3051" s="52"/>
      <c r="U3051" s="52"/>
      <c r="V3051" s="52"/>
      <c r="W3051" s="52"/>
      <c r="X3051" s="52"/>
      <c r="Y3051" s="52"/>
      <c r="Z3051" s="52"/>
      <c r="AA3051" s="52"/>
      <c r="AB3051" s="52"/>
      <c r="AC3051" s="52"/>
      <c r="AD3051" s="52"/>
      <c r="AE3051" s="52"/>
      <c r="AF3051" s="52"/>
      <c r="AG3051" s="52"/>
      <c r="AH3051" s="52"/>
      <c r="AM3051" s="52"/>
      <c r="AN3051" s="52"/>
    </row>
    <row r="3052" spans="16:40" x14ac:dyDescent="0.2">
      <c r="P3052" s="52"/>
      <c r="Q3052" s="52"/>
      <c r="R3052" s="52"/>
      <c r="S3052" s="52"/>
      <c r="T3052" s="52"/>
      <c r="U3052" s="52"/>
      <c r="V3052" s="52"/>
      <c r="W3052" s="52"/>
      <c r="X3052" s="52"/>
      <c r="Y3052" s="52"/>
      <c r="Z3052" s="52"/>
      <c r="AA3052" s="52"/>
      <c r="AB3052" s="52"/>
      <c r="AC3052" s="52"/>
      <c r="AD3052" s="52"/>
      <c r="AE3052" s="52"/>
      <c r="AF3052" s="52"/>
      <c r="AG3052" s="52"/>
      <c r="AH3052" s="52"/>
      <c r="AM3052" s="52"/>
      <c r="AN3052" s="52"/>
    </row>
    <row r="3053" spans="16:40" x14ac:dyDescent="0.2">
      <c r="P3053" s="52"/>
      <c r="Q3053" s="52"/>
      <c r="R3053" s="52"/>
      <c r="S3053" s="52"/>
      <c r="T3053" s="52"/>
      <c r="U3053" s="52"/>
      <c r="V3053" s="52"/>
      <c r="W3053" s="52"/>
      <c r="X3053" s="52"/>
      <c r="Y3053" s="52"/>
      <c r="Z3053" s="52"/>
      <c r="AA3053" s="52"/>
      <c r="AB3053" s="52"/>
      <c r="AC3053" s="52"/>
      <c r="AD3053" s="52"/>
      <c r="AE3053" s="52"/>
      <c r="AF3053" s="52"/>
      <c r="AG3053" s="52"/>
      <c r="AH3053" s="52"/>
      <c r="AM3053" s="52"/>
      <c r="AN3053" s="52"/>
    </row>
    <row r="3054" spans="16:40" x14ac:dyDescent="0.2">
      <c r="P3054" s="52"/>
      <c r="Q3054" s="52"/>
      <c r="R3054" s="52"/>
      <c r="S3054" s="52"/>
      <c r="T3054" s="52"/>
      <c r="U3054" s="52"/>
      <c r="V3054" s="52"/>
      <c r="W3054" s="52"/>
      <c r="X3054" s="52"/>
      <c r="Y3054" s="52"/>
      <c r="Z3054" s="52"/>
      <c r="AA3054" s="52"/>
      <c r="AB3054" s="52"/>
      <c r="AC3054" s="52"/>
      <c r="AD3054" s="52"/>
      <c r="AE3054" s="52"/>
      <c r="AF3054" s="52"/>
      <c r="AG3054" s="52"/>
      <c r="AH3054" s="52"/>
      <c r="AM3054" s="52"/>
      <c r="AN3054" s="52"/>
    </row>
    <row r="3055" spans="16:40" x14ac:dyDescent="0.2">
      <c r="P3055" s="52"/>
      <c r="Q3055" s="52"/>
      <c r="R3055" s="52"/>
      <c r="S3055" s="52"/>
      <c r="T3055" s="52"/>
      <c r="U3055" s="52"/>
      <c r="V3055" s="52"/>
      <c r="W3055" s="52"/>
      <c r="X3055" s="52"/>
      <c r="Y3055" s="52"/>
      <c r="Z3055" s="52"/>
      <c r="AA3055" s="52"/>
      <c r="AB3055" s="52"/>
      <c r="AC3055" s="52"/>
      <c r="AD3055" s="52"/>
      <c r="AE3055" s="52"/>
      <c r="AF3055" s="52"/>
      <c r="AG3055" s="52"/>
      <c r="AH3055" s="52"/>
      <c r="AM3055" s="52"/>
      <c r="AN3055" s="52"/>
    </row>
    <row r="3056" spans="16:40" x14ac:dyDescent="0.2">
      <c r="P3056" s="52"/>
      <c r="Q3056" s="52"/>
      <c r="R3056" s="52"/>
      <c r="S3056" s="52"/>
      <c r="T3056" s="52"/>
      <c r="U3056" s="52"/>
      <c r="V3056" s="52"/>
      <c r="W3056" s="52"/>
      <c r="X3056" s="52"/>
      <c r="Y3056" s="52"/>
      <c r="Z3056" s="52"/>
      <c r="AA3056" s="52"/>
      <c r="AB3056" s="52"/>
      <c r="AC3056" s="52"/>
      <c r="AD3056" s="52"/>
      <c r="AE3056" s="52"/>
      <c r="AF3056" s="52"/>
      <c r="AG3056" s="52"/>
      <c r="AH3056" s="52"/>
      <c r="AM3056" s="52"/>
      <c r="AN3056" s="52"/>
    </row>
    <row r="3057" spans="16:40" x14ac:dyDescent="0.2">
      <c r="P3057" s="52"/>
      <c r="Q3057" s="52"/>
      <c r="R3057" s="52"/>
      <c r="S3057" s="52"/>
      <c r="T3057" s="52"/>
      <c r="U3057" s="52"/>
      <c r="V3057" s="52"/>
      <c r="W3057" s="52"/>
      <c r="X3057" s="52"/>
      <c r="Y3057" s="52"/>
      <c r="Z3057" s="52"/>
      <c r="AA3057" s="52"/>
      <c r="AB3057" s="52"/>
      <c r="AC3057" s="52"/>
      <c r="AD3057" s="52"/>
      <c r="AE3057" s="52"/>
      <c r="AF3057" s="52"/>
      <c r="AG3057" s="52"/>
      <c r="AH3057" s="52"/>
      <c r="AM3057" s="52"/>
      <c r="AN3057" s="52"/>
    </row>
    <row r="3058" spans="16:40" x14ac:dyDescent="0.2">
      <c r="P3058" s="52"/>
      <c r="Q3058" s="52"/>
      <c r="R3058" s="52"/>
      <c r="S3058" s="52"/>
      <c r="T3058" s="52"/>
      <c r="U3058" s="52"/>
      <c r="V3058" s="52"/>
      <c r="W3058" s="52"/>
      <c r="X3058" s="52"/>
      <c r="Y3058" s="52"/>
      <c r="Z3058" s="52"/>
      <c r="AA3058" s="52"/>
      <c r="AB3058" s="52"/>
      <c r="AC3058" s="52"/>
      <c r="AD3058" s="52"/>
      <c r="AE3058" s="52"/>
      <c r="AF3058" s="52"/>
      <c r="AG3058" s="52"/>
      <c r="AH3058" s="52"/>
      <c r="AM3058" s="52"/>
      <c r="AN3058" s="52"/>
    </row>
    <row r="3059" spans="16:40" x14ac:dyDescent="0.2">
      <c r="P3059" s="52"/>
      <c r="Q3059" s="52"/>
      <c r="R3059" s="52"/>
      <c r="S3059" s="52"/>
      <c r="T3059" s="52"/>
      <c r="U3059" s="52"/>
      <c r="V3059" s="52"/>
      <c r="W3059" s="52"/>
      <c r="X3059" s="52"/>
      <c r="Y3059" s="52"/>
      <c r="Z3059" s="52"/>
      <c r="AA3059" s="52"/>
      <c r="AB3059" s="52"/>
      <c r="AC3059" s="52"/>
      <c r="AD3059" s="52"/>
      <c r="AE3059" s="52"/>
      <c r="AF3059" s="52"/>
      <c r="AG3059" s="52"/>
      <c r="AH3059" s="52"/>
      <c r="AM3059" s="52"/>
      <c r="AN3059" s="52"/>
    </row>
    <row r="3060" spans="16:40" x14ac:dyDescent="0.2">
      <c r="P3060" s="52"/>
      <c r="Q3060" s="52"/>
      <c r="R3060" s="52"/>
      <c r="S3060" s="52"/>
      <c r="T3060" s="52"/>
      <c r="U3060" s="52"/>
      <c r="V3060" s="52"/>
      <c r="W3060" s="52"/>
      <c r="X3060" s="52"/>
      <c r="Y3060" s="52"/>
      <c r="Z3060" s="52"/>
      <c r="AA3060" s="52"/>
      <c r="AB3060" s="52"/>
      <c r="AC3060" s="52"/>
      <c r="AD3060" s="52"/>
      <c r="AE3060" s="52"/>
      <c r="AF3060" s="52"/>
      <c r="AG3060" s="52"/>
      <c r="AH3060" s="52"/>
      <c r="AM3060" s="52"/>
      <c r="AN3060" s="52"/>
    </row>
    <row r="3061" spans="16:40" x14ac:dyDescent="0.2">
      <c r="P3061" s="52"/>
      <c r="Q3061" s="52"/>
      <c r="R3061" s="52"/>
      <c r="S3061" s="52"/>
      <c r="T3061" s="52"/>
      <c r="U3061" s="52"/>
      <c r="V3061" s="52"/>
      <c r="W3061" s="52"/>
      <c r="X3061" s="52"/>
      <c r="Y3061" s="52"/>
      <c r="Z3061" s="52"/>
      <c r="AA3061" s="52"/>
      <c r="AB3061" s="52"/>
      <c r="AC3061" s="52"/>
      <c r="AD3061" s="52"/>
      <c r="AE3061" s="52"/>
      <c r="AF3061" s="52"/>
      <c r="AG3061" s="52"/>
      <c r="AH3061" s="52"/>
      <c r="AM3061" s="52"/>
      <c r="AN3061" s="52"/>
    </row>
    <row r="3062" spans="16:40" x14ac:dyDescent="0.2"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2"/>
      <c r="AA3062" s="52"/>
      <c r="AB3062" s="52"/>
      <c r="AC3062" s="52"/>
      <c r="AD3062" s="52"/>
      <c r="AE3062" s="52"/>
      <c r="AF3062" s="52"/>
      <c r="AG3062" s="52"/>
      <c r="AH3062" s="52"/>
      <c r="AM3062" s="52"/>
      <c r="AN3062" s="52"/>
    </row>
    <row r="3063" spans="16:40" x14ac:dyDescent="0.2">
      <c r="P3063" s="52"/>
      <c r="Q3063" s="52"/>
      <c r="R3063" s="52"/>
      <c r="S3063" s="52"/>
      <c r="T3063" s="52"/>
      <c r="U3063" s="52"/>
      <c r="V3063" s="52"/>
      <c r="W3063" s="52"/>
      <c r="X3063" s="52"/>
      <c r="Y3063" s="52"/>
      <c r="Z3063" s="52"/>
      <c r="AA3063" s="52"/>
      <c r="AB3063" s="52"/>
      <c r="AC3063" s="52"/>
      <c r="AD3063" s="52"/>
      <c r="AE3063" s="52"/>
      <c r="AF3063" s="52"/>
      <c r="AG3063" s="52"/>
      <c r="AH3063" s="52"/>
      <c r="AM3063" s="52"/>
      <c r="AN3063" s="52"/>
    </row>
    <row r="3064" spans="16:40" x14ac:dyDescent="0.2">
      <c r="P3064" s="52"/>
      <c r="Q3064" s="52"/>
      <c r="R3064" s="52"/>
      <c r="S3064" s="52"/>
      <c r="T3064" s="52"/>
      <c r="U3064" s="52"/>
      <c r="V3064" s="52"/>
      <c r="W3064" s="52"/>
      <c r="X3064" s="52"/>
      <c r="Y3064" s="52"/>
      <c r="Z3064" s="52"/>
      <c r="AA3064" s="52"/>
      <c r="AB3064" s="52"/>
      <c r="AC3064" s="52"/>
      <c r="AD3064" s="52"/>
      <c r="AE3064" s="52"/>
      <c r="AF3064" s="52"/>
      <c r="AG3064" s="52"/>
      <c r="AH3064" s="52"/>
      <c r="AM3064" s="52"/>
      <c r="AN3064" s="52"/>
    </row>
    <row r="3065" spans="16:40" x14ac:dyDescent="0.2">
      <c r="P3065" s="52"/>
      <c r="Q3065" s="52"/>
      <c r="R3065" s="52"/>
      <c r="S3065" s="52"/>
      <c r="T3065" s="52"/>
      <c r="U3065" s="52"/>
      <c r="V3065" s="52"/>
      <c r="W3065" s="52"/>
      <c r="X3065" s="52"/>
      <c r="Y3065" s="52"/>
      <c r="Z3065" s="52"/>
      <c r="AA3065" s="52"/>
      <c r="AB3065" s="52"/>
      <c r="AC3065" s="52"/>
      <c r="AD3065" s="52"/>
      <c r="AE3065" s="52"/>
      <c r="AF3065" s="52"/>
      <c r="AG3065" s="52"/>
      <c r="AH3065" s="52"/>
      <c r="AM3065" s="52"/>
      <c r="AN3065" s="52"/>
    </row>
    <row r="3066" spans="16:40" x14ac:dyDescent="0.2">
      <c r="P3066" s="52"/>
      <c r="Q3066" s="52"/>
      <c r="R3066" s="52"/>
      <c r="S3066" s="52"/>
      <c r="T3066" s="52"/>
      <c r="U3066" s="52"/>
      <c r="V3066" s="52"/>
      <c r="W3066" s="52"/>
      <c r="X3066" s="52"/>
      <c r="Y3066" s="52"/>
      <c r="Z3066" s="52"/>
      <c r="AA3066" s="52"/>
      <c r="AB3066" s="52"/>
      <c r="AC3066" s="52"/>
      <c r="AD3066" s="52"/>
      <c r="AE3066" s="52"/>
      <c r="AF3066" s="52"/>
      <c r="AG3066" s="52"/>
      <c r="AH3066" s="52"/>
      <c r="AM3066" s="52"/>
      <c r="AN3066" s="52"/>
    </row>
    <row r="3067" spans="16:40" x14ac:dyDescent="0.2">
      <c r="P3067" s="52"/>
      <c r="Q3067" s="52"/>
      <c r="R3067" s="52"/>
      <c r="S3067" s="52"/>
      <c r="T3067" s="52"/>
      <c r="U3067" s="52"/>
      <c r="V3067" s="52"/>
      <c r="W3067" s="52"/>
      <c r="X3067" s="52"/>
      <c r="Y3067" s="52"/>
      <c r="Z3067" s="52"/>
      <c r="AA3067" s="52"/>
      <c r="AB3067" s="52"/>
      <c r="AC3067" s="52"/>
      <c r="AD3067" s="52"/>
      <c r="AE3067" s="52"/>
      <c r="AF3067" s="52"/>
      <c r="AG3067" s="52"/>
      <c r="AH3067" s="52"/>
      <c r="AM3067" s="52"/>
      <c r="AN3067" s="52"/>
    </row>
    <row r="3068" spans="16:40" x14ac:dyDescent="0.2">
      <c r="P3068" s="52"/>
      <c r="Q3068" s="52"/>
      <c r="R3068" s="52"/>
      <c r="S3068" s="52"/>
      <c r="T3068" s="52"/>
      <c r="U3068" s="52"/>
      <c r="V3068" s="52"/>
      <c r="W3068" s="52"/>
      <c r="X3068" s="52"/>
      <c r="Y3068" s="52"/>
      <c r="Z3068" s="52"/>
      <c r="AA3068" s="52"/>
      <c r="AB3068" s="52"/>
      <c r="AC3068" s="52"/>
      <c r="AD3068" s="52"/>
      <c r="AE3068" s="52"/>
      <c r="AF3068" s="52"/>
      <c r="AG3068" s="52"/>
      <c r="AH3068" s="52"/>
      <c r="AM3068" s="52"/>
      <c r="AN3068" s="52"/>
    </row>
    <row r="3069" spans="16:40" x14ac:dyDescent="0.2">
      <c r="P3069" s="52"/>
      <c r="Q3069" s="52"/>
      <c r="R3069" s="52"/>
      <c r="S3069" s="52"/>
      <c r="T3069" s="52"/>
      <c r="U3069" s="52"/>
      <c r="V3069" s="52"/>
      <c r="W3069" s="52"/>
      <c r="X3069" s="52"/>
      <c r="Y3069" s="52"/>
      <c r="Z3069" s="52"/>
      <c r="AA3069" s="52"/>
      <c r="AB3069" s="52"/>
      <c r="AC3069" s="52"/>
      <c r="AD3069" s="52"/>
      <c r="AE3069" s="52"/>
      <c r="AF3069" s="52"/>
      <c r="AG3069" s="52"/>
      <c r="AH3069" s="52"/>
      <c r="AM3069" s="52"/>
      <c r="AN3069" s="52"/>
    </row>
    <row r="3070" spans="16:40" x14ac:dyDescent="0.2">
      <c r="P3070" s="52"/>
      <c r="Q3070" s="52"/>
      <c r="R3070" s="52"/>
      <c r="S3070" s="52"/>
      <c r="T3070" s="52"/>
      <c r="U3070" s="52"/>
      <c r="V3070" s="52"/>
      <c r="W3070" s="52"/>
      <c r="X3070" s="52"/>
      <c r="Y3070" s="52"/>
      <c r="Z3070" s="52"/>
      <c r="AA3070" s="52"/>
      <c r="AB3070" s="52"/>
      <c r="AC3070" s="52"/>
      <c r="AD3070" s="52"/>
      <c r="AE3070" s="52"/>
      <c r="AF3070" s="52"/>
      <c r="AG3070" s="52"/>
      <c r="AH3070" s="52"/>
      <c r="AM3070" s="52"/>
      <c r="AN3070" s="52"/>
    </row>
    <row r="3071" spans="16:40" x14ac:dyDescent="0.2">
      <c r="P3071" s="52"/>
      <c r="Q3071" s="52"/>
      <c r="R3071" s="52"/>
      <c r="S3071" s="52"/>
      <c r="T3071" s="52"/>
      <c r="U3071" s="52"/>
      <c r="V3071" s="52"/>
      <c r="W3071" s="52"/>
      <c r="X3071" s="52"/>
      <c r="Y3071" s="52"/>
      <c r="Z3071" s="52"/>
      <c r="AA3071" s="52"/>
      <c r="AB3071" s="52"/>
      <c r="AC3071" s="52"/>
      <c r="AD3071" s="52"/>
      <c r="AE3071" s="52"/>
      <c r="AF3071" s="52"/>
      <c r="AG3071" s="52"/>
      <c r="AH3071" s="52"/>
      <c r="AM3071" s="52"/>
      <c r="AN3071" s="52"/>
    </row>
    <row r="3072" spans="16:40" x14ac:dyDescent="0.2">
      <c r="P3072" s="52"/>
      <c r="Q3072" s="52"/>
      <c r="R3072" s="52"/>
      <c r="S3072" s="52"/>
      <c r="T3072" s="52"/>
      <c r="U3072" s="52"/>
      <c r="V3072" s="52"/>
      <c r="W3072" s="52"/>
      <c r="X3072" s="52"/>
      <c r="Y3072" s="52"/>
      <c r="Z3072" s="52"/>
      <c r="AA3072" s="52"/>
      <c r="AB3072" s="52"/>
      <c r="AC3072" s="52"/>
      <c r="AD3072" s="52"/>
      <c r="AE3072" s="52"/>
      <c r="AF3072" s="52"/>
      <c r="AG3072" s="52"/>
      <c r="AH3072" s="52"/>
      <c r="AM3072" s="52"/>
      <c r="AN3072" s="52"/>
    </row>
    <row r="3073" spans="16:40" x14ac:dyDescent="0.2">
      <c r="P3073" s="52"/>
      <c r="Q3073" s="52"/>
      <c r="R3073" s="52"/>
      <c r="S3073" s="52"/>
      <c r="T3073" s="52"/>
      <c r="U3073" s="52"/>
      <c r="V3073" s="52"/>
      <c r="W3073" s="52"/>
      <c r="X3073" s="52"/>
      <c r="Y3073" s="52"/>
      <c r="Z3073" s="52"/>
      <c r="AA3073" s="52"/>
      <c r="AB3073" s="52"/>
      <c r="AC3073" s="52"/>
      <c r="AD3073" s="52"/>
      <c r="AE3073" s="52"/>
      <c r="AF3073" s="52"/>
      <c r="AG3073" s="52"/>
      <c r="AH3073" s="52"/>
      <c r="AM3073" s="52"/>
      <c r="AN3073" s="52"/>
    </row>
    <row r="3074" spans="16:40" x14ac:dyDescent="0.2">
      <c r="P3074" s="52"/>
      <c r="Q3074" s="52"/>
      <c r="R3074" s="52"/>
      <c r="S3074" s="52"/>
      <c r="T3074" s="52"/>
      <c r="U3074" s="52"/>
      <c r="V3074" s="52"/>
      <c r="W3074" s="52"/>
      <c r="X3074" s="52"/>
      <c r="Y3074" s="52"/>
      <c r="Z3074" s="52"/>
      <c r="AA3074" s="52"/>
      <c r="AB3074" s="52"/>
      <c r="AC3074" s="52"/>
      <c r="AD3074" s="52"/>
      <c r="AE3074" s="52"/>
      <c r="AF3074" s="52"/>
      <c r="AG3074" s="52"/>
      <c r="AH3074" s="52"/>
      <c r="AM3074" s="52"/>
      <c r="AN3074" s="52"/>
    </row>
    <row r="3075" spans="16:40" x14ac:dyDescent="0.2">
      <c r="P3075" s="52"/>
      <c r="Q3075" s="52"/>
      <c r="R3075" s="52"/>
      <c r="S3075" s="52"/>
      <c r="T3075" s="52"/>
      <c r="U3075" s="52"/>
      <c r="V3075" s="52"/>
      <c r="W3075" s="52"/>
      <c r="X3075" s="52"/>
      <c r="Y3075" s="52"/>
      <c r="Z3075" s="52"/>
      <c r="AA3075" s="52"/>
      <c r="AB3075" s="52"/>
      <c r="AC3075" s="52"/>
      <c r="AD3075" s="52"/>
      <c r="AE3075" s="52"/>
      <c r="AF3075" s="52"/>
      <c r="AG3075" s="52"/>
      <c r="AH3075" s="52"/>
      <c r="AM3075" s="52"/>
      <c r="AN3075" s="52"/>
    </row>
    <row r="3076" spans="16:40" x14ac:dyDescent="0.2">
      <c r="P3076" s="52"/>
      <c r="Q3076" s="52"/>
      <c r="R3076" s="52"/>
      <c r="S3076" s="52"/>
      <c r="T3076" s="52"/>
      <c r="U3076" s="52"/>
      <c r="V3076" s="52"/>
      <c r="W3076" s="52"/>
      <c r="X3076" s="52"/>
      <c r="Y3076" s="52"/>
      <c r="Z3076" s="52"/>
      <c r="AA3076" s="52"/>
      <c r="AB3076" s="52"/>
      <c r="AC3076" s="52"/>
      <c r="AD3076" s="52"/>
      <c r="AE3076" s="52"/>
      <c r="AF3076" s="52"/>
      <c r="AG3076" s="52"/>
      <c r="AH3076" s="52"/>
      <c r="AM3076" s="52"/>
      <c r="AN3076" s="52"/>
    </row>
    <row r="3077" spans="16:40" x14ac:dyDescent="0.2">
      <c r="P3077" s="52"/>
      <c r="Q3077" s="52"/>
      <c r="R3077" s="52"/>
      <c r="S3077" s="52"/>
      <c r="T3077" s="52"/>
      <c r="U3077" s="52"/>
      <c r="V3077" s="52"/>
      <c r="W3077" s="52"/>
      <c r="X3077" s="52"/>
      <c r="Y3077" s="52"/>
      <c r="Z3077" s="52"/>
      <c r="AA3077" s="52"/>
      <c r="AB3077" s="52"/>
      <c r="AC3077" s="52"/>
      <c r="AD3077" s="52"/>
      <c r="AE3077" s="52"/>
      <c r="AF3077" s="52"/>
      <c r="AG3077" s="52"/>
      <c r="AH3077" s="52"/>
      <c r="AM3077" s="52"/>
      <c r="AN3077" s="52"/>
    </row>
    <row r="3078" spans="16:40" x14ac:dyDescent="0.2">
      <c r="P3078" s="52"/>
      <c r="Q3078" s="52"/>
      <c r="R3078" s="52"/>
      <c r="S3078" s="52"/>
      <c r="T3078" s="52"/>
      <c r="U3078" s="52"/>
      <c r="V3078" s="52"/>
      <c r="W3078" s="52"/>
      <c r="X3078" s="52"/>
      <c r="Y3078" s="52"/>
      <c r="Z3078" s="52"/>
      <c r="AA3078" s="52"/>
      <c r="AB3078" s="52"/>
      <c r="AC3078" s="52"/>
      <c r="AD3078" s="52"/>
      <c r="AE3078" s="52"/>
      <c r="AF3078" s="52"/>
      <c r="AG3078" s="52"/>
      <c r="AH3078" s="52"/>
      <c r="AM3078" s="52"/>
      <c r="AN3078" s="52"/>
    </row>
    <row r="3079" spans="16:40" x14ac:dyDescent="0.2">
      <c r="P3079" s="52"/>
      <c r="Q3079" s="52"/>
      <c r="R3079" s="52"/>
      <c r="S3079" s="52"/>
      <c r="T3079" s="52"/>
      <c r="U3079" s="52"/>
      <c r="V3079" s="52"/>
      <c r="W3079" s="52"/>
      <c r="X3079" s="52"/>
      <c r="Y3079" s="52"/>
      <c r="Z3079" s="52"/>
      <c r="AA3079" s="52"/>
      <c r="AB3079" s="52"/>
      <c r="AC3079" s="52"/>
      <c r="AD3079" s="52"/>
      <c r="AE3079" s="52"/>
      <c r="AF3079" s="52"/>
      <c r="AG3079" s="52"/>
      <c r="AH3079" s="52"/>
      <c r="AM3079" s="52"/>
      <c r="AN3079" s="52"/>
    </row>
    <row r="3080" spans="16:40" x14ac:dyDescent="0.2">
      <c r="P3080" s="52"/>
      <c r="Q3080" s="52"/>
      <c r="R3080" s="52"/>
      <c r="S3080" s="52"/>
      <c r="T3080" s="52"/>
      <c r="U3080" s="52"/>
      <c r="V3080" s="52"/>
      <c r="W3080" s="52"/>
      <c r="X3080" s="52"/>
      <c r="Y3080" s="52"/>
      <c r="Z3080" s="52"/>
      <c r="AA3080" s="52"/>
      <c r="AB3080" s="52"/>
      <c r="AC3080" s="52"/>
      <c r="AD3080" s="52"/>
      <c r="AE3080" s="52"/>
      <c r="AF3080" s="52"/>
      <c r="AG3080" s="52"/>
      <c r="AH3080" s="52"/>
      <c r="AM3080" s="52"/>
      <c r="AN3080" s="52"/>
    </row>
    <row r="3081" spans="16:40" x14ac:dyDescent="0.2">
      <c r="P3081" s="52"/>
      <c r="Q3081" s="52"/>
      <c r="R3081" s="52"/>
      <c r="S3081" s="52"/>
      <c r="T3081" s="52"/>
      <c r="U3081" s="52"/>
      <c r="V3081" s="52"/>
      <c r="W3081" s="52"/>
      <c r="X3081" s="52"/>
      <c r="Y3081" s="52"/>
      <c r="Z3081" s="52"/>
      <c r="AA3081" s="52"/>
      <c r="AB3081" s="52"/>
      <c r="AC3081" s="52"/>
      <c r="AD3081" s="52"/>
      <c r="AE3081" s="52"/>
      <c r="AF3081" s="52"/>
      <c r="AG3081" s="52"/>
      <c r="AH3081" s="52"/>
      <c r="AM3081" s="52"/>
      <c r="AN3081" s="52"/>
    </row>
    <row r="3082" spans="16:40" x14ac:dyDescent="0.2">
      <c r="P3082" s="52"/>
      <c r="Q3082" s="52"/>
      <c r="R3082" s="52"/>
      <c r="S3082" s="52"/>
      <c r="T3082" s="52"/>
      <c r="U3082" s="52"/>
      <c r="V3082" s="52"/>
      <c r="W3082" s="52"/>
      <c r="X3082" s="52"/>
      <c r="Y3082" s="52"/>
      <c r="Z3082" s="52"/>
      <c r="AA3082" s="52"/>
      <c r="AB3082" s="52"/>
      <c r="AC3082" s="52"/>
      <c r="AD3082" s="52"/>
      <c r="AE3082" s="52"/>
      <c r="AF3082" s="52"/>
      <c r="AG3082" s="52"/>
      <c r="AH3082" s="52"/>
      <c r="AM3082" s="52"/>
      <c r="AN3082" s="52"/>
    </row>
    <row r="3083" spans="16:40" x14ac:dyDescent="0.2">
      <c r="P3083" s="52"/>
      <c r="Q3083" s="52"/>
      <c r="R3083" s="52"/>
      <c r="S3083" s="52"/>
      <c r="T3083" s="52"/>
      <c r="U3083" s="52"/>
      <c r="V3083" s="52"/>
      <c r="W3083" s="52"/>
      <c r="X3083" s="52"/>
      <c r="Y3083" s="52"/>
      <c r="Z3083" s="52"/>
      <c r="AA3083" s="52"/>
      <c r="AB3083" s="52"/>
      <c r="AC3083" s="52"/>
      <c r="AD3083" s="52"/>
      <c r="AE3083" s="52"/>
      <c r="AF3083" s="52"/>
      <c r="AG3083" s="52"/>
      <c r="AH3083" s="52"/>
      <c r="AM3083" s="52"/>
      <c r="AN3083" s="52"/>
    </row>
    <row r="3084" spans="16:40" x14ac:dyDescent="0.2">
      <c r="P3084" s="52"/>
      <c r="Q3084" s="52"/>
      <c r="R3084" s="52"/>
      <c r="S3084" s="52"/>
      <c r="T3084" s="52"/>
      <c r="U3084" s="52"/>
      <c r="V3084" s="52"/>
      <c r="W3084" s="52"/>
      <c r="X3084" s="52"/>
      <c r="Y3084" s="52"/>
      <c r="Z3084" s="52"/>
      <c r="AA3084" s="52"/>
      <c r="AB3084" s="52"/>
      <c r="AC3084" s="52"/>
      <c r="AD3084" s="52"/>
      <c r="AE3084" s="52"/>
      <c r="AF3084" s="52"/>
      <c r="AG3084" s="52"/>
      <c r="AH3084" s="52"/>
      <c r="AM3084" s="52"/>
      <c r="AN3084" s="52"/>
    </row>
    <row r="3085" spans="16:40" x14ac:dyDescent="0.2">
      <c r="P3085" s="52"/>
      <c r="Q3085" s="52"/>
      <c r="R3085" s="52"/>
      <c r="S3085" s="52"/>
      <c r="T3085" s="52"/>
      <c r="U3085" s="52"/>
      <c r="V3085" s="52"/>
      <c r="W3085" s="52"/>
      <c r="X3085" s="52"/>
      <c r="Y3085" s="52"/>
      <c r="Z3085" s="52"/>
      <c r="AA3085" s="52"/>
      <c r="AB3085" s="52"/>
      <c r="AC3085" s="52"/>
      <c r="AD3085" s="52"/>
      <c r="AE3085" s="52"/>
      <c r="AF3085" s="52"/>
      <c r="AG3085" s="52"/>
      <c r="AH3085" s="52"/>
      <c r="AM3085" s="52"/>
      <c r="AN3085" s="52"/>
    </row>
    <row r="3086" spans="16:40" x14ac:dyDescent="0.2">
      <c r="P3086" s="52"/>
      <c r="Q3086" s="52"/>
      <c r="R3086" s="52"/>
      <c r="S3086" s="52"/>
      <c r="T3086" s="52"/>
      <c r="U3086" s="52"/>
      <c r="V3086" s="52"/>
      <c r="W3086" s="52"/>
      <c r="X3086" s="52"/>
      <c r="Y3086" s="52"/>
      <c r="Z3086" s="52"/>
      <c r="AA3086" s="52"/>
      <c r="AB3086" s="52"/>
      <c r="AC3086" s="52"/>
      <c r="AD3086" s="52"/>
      <c r="AE3086" s="52"/>
      <c r="AF3086" s="52"/>
      <c r="AG3086" s="52"/>
      <c r="AH3086" s="52"/>
      <c r="AM3086" s="52"/>
      <c r="AN3086" s="52"/>
    </row>
    <row r="3087" spans="16:40" x14ac:dyDescent="0.2">
      <c r="P3087" s="52"/>
      <c r="Q3087" s="52"/>
      <c r="R3087" s="52"/>
      <c r="S3087" s="52"/>
      <c r="T3087" s="52"/>
      <c r="U3087" s="52"/>
      <c r="V3087" s="52"/>
      <c r="W3087" s="52"/>
      <c r="X3087" s="52"/>
      <c r="Y3087" s="52"/>
      <c r="Z3087" s="52"/>
      <c r="AA3087" s="52"/>
      <c r="AB3087" s="52"/>
      <c r="AC3087" s="52"/>
      <c r="AD3087" s="52"/>
      <c r="AE3087" s="52"/>
      <c r="AF3087" s="52"/>
      <c r="AG3087" s="52"/>
      <c r="AH3087" s="52"/>
      <c r="AM3087" s="52"/>
      <c r="AN3087" s="52"/>
    </row>
    <row r="3088" spans="16:40" x14ac:dyDescent="0.2">
      <c r="P3088" s="52"/>
      <c r="Q3088" s="52"/>
      <c r="R3088" s="52"/>
      <c r="S3088" s="52"/>
      <c r="T3088" s="52"/>
      <c r="U3088" s="52"/>
      <c r="V3088" s="52"/>
      <c r="W3088" s="52"/>
      <c r="X3088" s="52"/>
      <c r="Y3088" s="52"/>
      <c r="Z3088" s="52"/>
      <c r="AA3088" s="52"/>
      <c r="AB3088" s="52"/>
      <c r="AC3088" s="52"/>
      <c r="AD3088" s="52"/>
      <c r="AE3088" s="52"/>
      <c r="AF3088" s="52"/>
      <c r="AG3088" s="52"/>
      <c r="AH3088" s="52"/>
      <c r="AM3088" s="52"/>
      <c r="AN3088" s="52"/>
    </row>
    <row r="3089" spans="16:40" x14ac:dyDescent="0.2">
      <c r="P3089" s="52"/>
      <c r="Q3089" s="52"/>
      <c r="R3089" s="52"/>
      <c r="S3089" s="52"/>
      <c r="T3089" s="52"/>
      <c r="U3089" s="52"/>
      <c r="V3089" s="52"/>
      <c r="W3089" s="52"/>
      <c r="X3089" s="52"/>
      <c r="Y3089" s="52"/>
      <c r="Z3089" s="52"/>
      <c r="AA3089" s="52"/>
      <c r="AB3089" s="52"/>
      <c r="AC3089" s="52"/>
      <c r="AD3089" s="52"/>
      <c r="AE3089" s="52"/>
      <c r="AF3089" s="52"/>
      <c r="AG3089" s="52"/>
      <c r="AH3089" s="52"/>
      <c r="AM3089" s="52"/>
      <c r="AN3089" s="52"/>
    </row>
    <row r="3090" spans="16:40" x14ac:dyDescent="0.2">
      <c r="P3090" s="52"/>
      <c r="Q3090" s="52"/>
      <c r="R3090" s="52"/>
      <c r="S3090" s="52"/>
      <c r="T3090" s="52"/>
      <c r="U3090" s="52"/>
      <c r="V3090" s="52"/>
      <c r="W3090" s="52"/>
      <c r="X3090" s="52"/>
      <c r="Y3090" s="52"/>
      <c r="Z3090" s="52"/>
      <c r="AA3090" s="52"/>
      <c r="AB3090" s="52"/>
      <c r="AC3090" s="52"/>
      <c r="AD3090" s="52"/>
      <c r="AE3090" s="52"/>
      <c r="AF3090" s="52"/>
      <c r="AG3090" s="52"/>
      <c r="AH3090" s="52"/>
      <c r="AM3090" s="52"/>
      <c r="AN3090" s="52"/>
    </row>
    <row r="3091" spans="16:40" x14ac:dyDescent="0.2">
      <c r="P3091" s="52"/>
      <c r="Q3091" s="52"/>
      <c r="R3091" s="52"/>
      <c r="S3091" s="52"/>
      <c r="T3091" s="52"/>
      <c r="U3091" s="52"/>
      <c r="V3091" s="52"/>
      <c r="W3091" s="52"/>
      <c r="X3091" s="52"/>
      <c r="Y3091" s="52"/>
      <c r="Z3091" s="52"/>
      <c r="AA3091" s="52"/>
      <c r="AB3091" s="52"/>
      <c r="AC3091" s="52"/>
      <c r="AD3091" s="52"/>
      <c r="AE3091" s="52"/>
      <c r="AF3091" s="52"/>
      <c r="AG3091" s="52"/>
      <c r="AH3091" s="52"/>
      <c r="AM3091" s="52"/>
      <c r="AN3091" s="52"/>
    </row>
    <row r="3092" spans="16:40" x14ac:dyDescent="0.2">
      <c r="P3092" s="52"/>
      <c r="Q3092" s="52"/>
      <c r="R3092" s="52"/>
      <c r="S3092" s="52"/>
      <c r="T3092" s="52"/>
      <c r="U3092" s="52"/>
      <c r="V3092" s="52"/>
      <c r="W3092" s="52"/>
      <c r="X3092" s="52"/>
      <c r="Y3092" s="52"/>
      <c r="Z3092" s="52"/>
      <c r="AA3092" s="52"/>
      <c r="AB3092" s="52"/>
      <c r="AC3092" s="52"/>
      <c r="AD3092" s="52"/>
      <c r="AE3092" s="52"/>
      <c r="AF3092" s="52"/>
      <c r="AG3092" s="52"/>
      <c r="AH3092" s="52"/>
      <c r="AM3092" s="52"/>
      <c r="AN3092" s="52"/>
    </row>
    <row r="3093" spans="16:40" x14ac:dyDescent="0.2">
      <c r="P3093" s="52"/>
      <c r="Q3093" s="52"/>
      <c r="R3093" s="52"/>
      <c r="S3093" s="52"/>
      <c r="T3093" s="52"/>
      <c r="U3093" s="52"/>
      <c r="V3093" s="52"/>
      <c r="W3093" s="52"/>
      <c r="X3093" s="52"/>
      <c r="Y3093" s="52"/>
      <c r="Z3093" s="52"/>
      <c r="AA3093" s="52"/>
      <c r="AB3093" s="52"/>
      <c r="AC3093" s="52"/>
      <c r="AD3093" s="52"/>
      <c r="AE3093" s="52"/>
      <c r="AF3093" s="52"/>
      <c r="AG3093" s="52"/>
      <c r="AH3093" s="52"/>
      <c r="AM3093" s="52"/>
      <c r="AN3093" s="52"/>
    </row>
    <row r="3094" spans="16:40" x14ac:dyDescent="0.2">
      <c r="P3094" s="52"/>
      <c r="Q3094" s="52"/>
      <c r="R3094" s="52"/>
      <c r="S3094" s="52"/>
      <c r="T3094" s="52"/>
      <c r="U3094" s="52"/>
      <c r="V3094" s="52"/>
      <c r="W3094" s="52"/>
      <c r="X3094" s="52"/>
      <c r="Y3094" s="52"/>
      <c r="Z3094" s="52"/>
      <c r="AA3094" s="52"/>
      <c r="AB3094" s="52"/>
      <c r="AC3094" s="52"/>
      <c r="AD3094" s="52"/>
      <c r="AE3094" s="52"/>
      <c r="AF3094" s="52"/>
      <c r="AG3094" s="52"/>
      <c r="AH3094" s="52"/>
      <c r="AM3094" s="52"/>
      <c r="AN3094" s="52"/>
    </row>
    <row r="3095" spans="16:40" x14ac:dyDescent="0.2">
      <c r="P3095" s="52"/>
      <c r="Q3095" s="52"/>
      <c r="R3095" s="52"/>
      <c r="S3095" s="52"/>
      <c r="T3095" s="52"/>
      <c r="U3095" s="52"/>
      <c r="V3095" s="52"/>
      <c r="W3095" s="52"/>
      <c r="X3095" s="52"/>
      <c r="Y3095" s="52"/>
      <c r="Z3095" s="52"/>
      <c r="AA3095" s="52"/>
      <c r="AB3095" s="52"/>
      <c r="AC3095" s="52"/>
      <c r="AD3095" s="52"/>
      <c r="AE3095" s="52"/>
      <c r="AF3095" s="52"/>
      <c r="AG3095" s="52"/>
      <c r="AH3095" s="52"/>
      <c r="AM3095" s="52"/>
      <c r="AN3095" s="52"/>
    </row>
    <row r="3096" spans="16:40" x14ac:dyDescent="0.2">
      <c r="P3096" s="52"/>
      <c r="Q3096" s="52"/>
      <c r="R3096" s="52"/>
      <c r="S3096" s="52"/>
      <c r="T3096" s="52"/>
      <c r="U3096" s="52"/>
      <c r="V3096" s="52"/>
      <c r="W3096" s="52"/>
      <c r="X3096" s="52"/>
      <c r="Y3096" s="52"/>
      <c r="Z3096" s="52"/>
      <c r="AA3096" s="52"/>
      <c r="AB3096" s="52"/>
      <c r="AC3096" s="52"/>
      <c r="AD3096" s="52"/>
      <c r="AE3096" s="52"/>
      <c r="AF3096" s="52"/>
      <c r="AG3096" s="52"/>
      <c r="AH3096" s="52"/>
      <c r="AM3096" s="52"/>
      <c r="AN3096" s="52"/>
    </row>
    <row r="3097" spans="16:40" x14ac:dyDescent="0.2">
      <c r="P3097" s="52"/>
      <c r="Q3097" s="52"/>
      <c r="R3097" s="52"/>
      <c r="S3097" s="52"/>
      <c r="T3097" s="52"/>
      <c r="U3097" s="52"/>
      <c r="V3097" s="52"/>
      <c r="W3097" s="52"/>
      <c r="X3097" s="52"/>
      <c r="Y3097" s="52"/>
      <c r="Z3097" s="52"/>
      <c r="AA3097" s="52"/>
      <c r="AB3097" s="52"/>
      <c r="AC3097" s="52"/>
      <c r="AD3097" s="52"/>
      <c r="AE3097" s="52"/>
      <c r="AF3097" s="52"/>
      <c r="AG3097" s="52"/>
      <c r="AH3097" s="52"/>
      <c r="AM3097" s="52"/>
      <c r="AN3097" s="52"/>
    </row>
    <row r="3098" spans="16:40" x14ac:dyDescent="0.2">
      <c r="P3098" s="52"/>
      <c r="Q3098" s="52"/>
      <c r="R3098" s="52"/>
      <c r="S3098" s="52"/>
      <c r="T3098" s="52"/>
      <c r="U3098" s="52"/>
      <c r="V3098" s="52"/>
      <c r="W3098" s="52"/>
      <c r="X3098" s="52"/>
      <c r="Y3098" s="52"/>
      <c r="Z3098" s="52"/>
      <c r="AA3098" s="52"/>
      <c r="AB3098" s="52"/>
      <c r="AC3098" s="52"/>
      <c r="AD3098" s="52"/>
      <c r="AE3098" s="52"/>
      <c r="AF3098" s="52"/>
      <c r="AG3098" s="52"/>
      <c r="AH3098" s="52"/>
      <c r="AM3098" s="52"/>
      <c r="AN3098" s="52"/>
    </row>
    <row r="3099" spans="16:40" x14ac:dyDescent="0.2">
      <c r="P3099" s="52"/>
      <c r="Q3099" s="52"/>
      <c r="R3099" s="52"/>
      <c r="S3099" s="52"/>
      <c r="T3099" s="52"/>
      <c r="U3099" s="52"/>
      <c r="V3099" s="52"/>
      <c r="W3099" s="52"/>
      <c r="X3099" s="52"/>
      <c r="Y3099" s="52"/>
      <c r="Z3099" s="52"/>
      <c r="AA3099" s="52"/>
      <c r="AB3099" s="52"/>
      <c r="AC3099" s="52"/>
      <c r="AD3099" s="52"/>
      <c r="AE3099" s="52"/>
      <c r="AF3099" s="52"/>
      <c r="AG3099" s="52"/>
      <c r="AH3099" s="52"/>
      <c r="AM3099" s="52"/>
      <c r="AN3099" s="52"/>
    </row>
    <row r="3100" spans="16:40" x14ac:dyDescent="0.2"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2"/>
      <c r="AA3100" s="52"/>
      <c r="AB3100" s="52"/>
      <c r="AC3100" s="52"/>
      <c r="AD3100" s="52"/>
      <c r="AE3100" s="52"/>
      <c r="AF3100" s="52"/>
      <c r="AG3100" s="52"/>
      <c r="AH3100" s="52"/>
      <c r="AM3100" s="52"/>
      <c r="AN3100" s="52"/>
    </row>
    <row r="3101" spans="16:40" x14ac:dyDescent="0.2">
      <c r="P3101" s="52"/>
      <c r="Q3101" s="52"/>
      <c r="R3101" s="52"/>
      <c r="S3101" s="52"/>
      <c r="T3101" s="52"/>
      <c r="U3101" s="52"/>
      <c r="V3101" s="52"/>
      <c r="W3101" s="52"/>
      <c r="X3101" s="52"/>
      <c r="Y3101" s="52"/>
      <c r="Z3101" s="52"/>
      <c r="AA3101" s="52"/>
      <c r="AB3101" s="52"/>
      <c r="AC3101" s="52"/>
      <c r="AD3101" s="52"/>
      <c r="AE3101" s="52"/>
      <c r="AF3101" s="52"/>
      <c r="AG3101" s="52"/>
      <c r="AH3101" s="52"/>
      <c r="AM3101" s="52"/>
      <c r="AN3101" s="52"/>
    </row>
    <row r="3102" spans="16:40" x14ac:dyDescent="0.2">
      <c r="P3102" s="52"/>
      <c r="Q3102" s="52"/>
      <c r="R3102" s="52"/>
      <c r="S3102" s="52"/>
      <c r="T3102" s="52"/>
      <c r="U3102" s="52"/>
      <c r="V3102" s="52"/>
      <c r="W3102" s="52"/>
      <c r="X3102" s="52"/>
      <c r="Y3102" s="52"/>
      <c r="Z3102" s="52"/>
      <c r="AA3102" s="52"/>
      <c r="AB3102" s="52"/>
      <c r="AC3102" s="52"/>
      <c r="AD3102" s="52"/>
      <c r="AE3102" s="52"/>
      <c r="AF3102" s="52"/>
      <c r="AG3102" s="52"/>
      <c r="AH3102" s="52"/>
      <c r="AM3102" s="52"/>
      <c r="AN3102" s="52"/>
    </row>
    <row r="3103" spans="16:40" x14ac:dyDescent="0.2">
      <c r="P3103" s="52"/>
      <c r="Q3103" s="52"/>
      <c r="R3103" s="52"/>
      <c r="S3103" s="52"/>
      <c r="T3103" s="52"/>
      <c r="U3103" s="52"/>
      <c r="V3103" s="52"/>
      <c r="W3103" s="52"/>
      <c r="X3103" s="52"/>
      <c r="Y3103" s="52"/>
      <c r="Z3103" s="52"/>
      <c r="AA3103" s="52"/>
      <c r="AB3103" s="52"/>
      <c r="AC3103" s="52"/>
      <c r="AD3103" s="52"/>
      <c r="AE3103" s="52"/>
      <c r="AF3103" s="52"/>
      <c r="AG3103" s="52"/>
      <c r="AH3103" s="52"/>
      <c r="AM3103" s="52"/>
      <c r="AN3103" s="52"/>
    </row>
    <row r="3104" spans="16:40" x14ac:dyDescent="0.2">
      <c r="P3104" s="52"/>
      <c r="Q3104" s="52"/>
      <c r="R3104" s="52"/>
      <c r="S3104" s="52"/>
      <c r="T3104" s="52"/>
      <c r="U3104" s="52"/>
      <c r="V3104" s="52"/>
      <c r="W3104" s="52"/>
      <c r="X3104" s="52"/>
      <c r="Y3104" s="52"/>
      <c r="Z3104" s="52"/>
      <c r="AA3104" s="52"/>
      <c r="AB3104" s="52"/>
      <c r="AC3104" s="52"/>
      <c r="AD3104" s="52"/>
      <c r="AE3104" s="52"/>
      <c r="AF3104" s="52"/>
      <c r="AG3104" s="52"/>
      <c r="AH3104" s="52"/>
      <c r="AM3104" s="52"/>
      <c r="AN3104" s="52"/>
    </row>
    <row r="3105" spans="16:40" x14ac:dyDescent="0.2">
      <c r="P3105" s="52"/>
      <c r="Q3105" s="52"/>
      <c r="R3105" s="52"/>
      <c r="S3105" s="52"/>
      <c r="T3105" s="52"/>
      <c r="U3105" s="52"/>
      <c r="V3105" s="52"/>
      <c r="W3105" s="52"/>
      <c r="X3105" s="52"/>
      <c r="Y3105" s="52"/>
      <c r="Z3105" s="52"/>
      <c r="AA3105" s="52"/>
      <c r="AB3105" s="52"/>
      <c r="AC3105" s="52"/>
      <c r="AD3105" s="52"/>
      <c r="AE3105" s="52"/>
      <c r="AF3105" s="52"/>
      <c r="AG3105" s="52"/>
      <c r="AH3105" s="52"/>
      <c r="AM3105" s="52"/>
      <c r="AN3105" s="52"/>
    </row>
    <row r="3106" spans="16:40" x14ac:dyDescent="0.2">
      <c r="P3106" s="52"/>
      <c r="Q3106" s="52"/>
      <c r="R3106" s="52"/>
      <c r="S3106" s="52"/>
      <c r="T3106" s="52"/>
      <c r="U3106" s="52"/>
      <c r="V3106" s="52"/>
      <c r="W3106" s="52"/>
      <c r="X3106" s="52"/>
      <c r="Y3106" s="52"/>
      <c r="Z3106" s="52"/>
      <c r="AA3106" s="52"/>
      <c r="AB3106" s="52"/>
      <c r="AC3106" s="52"/>
      <c r="AD3106" s="52"/>
      <c r="AE3106" s="52"/>
      <c r="AF3106" s="52"/>
      <c r="AG3106" s="52"/>
      <c r="AH3106" s="52"/>
      <c r="AM3106" s="52"/>
      <c r="AN3106" s="52"/>
    </row>
    <row r="3107" spans="16:40" x14ac:dyDescent="0.2">
      <c r="P3107" s="52"/>
      <c r="Q3107" s="52"/>
      <c r="R3107" s="52"/>
      <c r="S3107" s="52"/>
      <c r="T3107" s="52"/>
      <c r="U3107" s="52"/>
      <c r="V3107" s="52"/>
      <c r="W3107" s="52"/>
      <c r="X3107" s="52"/>
      <c r="Y3107" s="52"/>
      <c r="Z3107" s="52"/>
      <c r="AA3107" s="52"/>
      <c r="AB3107" s="52"/>
      <c r="AC3107" s="52"/>
      <c r="AD3107" s="52"/>
      <c r="AE3107" s="52"/>
      <c r="AF3107" s="52"/>
      <c r="AG3107" s="52"/>
      <c r="AH3107" s="52"/>
      <c r="AM3107" s="52"/>
      <c r="AN3107" s="52"/>
    </row>
    <row r="3108" spans="16:40" x14ac:dyDescent="0.2">
      <c r="P3108" s="52"/>
      <c r="Q3108" s="52"/>
      <c r="R3108" s="52"/>
      <c r="S3108" s="52"/>
      <c r="T3108" s="52"/>
      <c r="U3108" s="52"/>
      <c r="V3108" s="52"/>
      <c r="W3108" s="52"/>
      <c r="X3108" s="52"/>
      <c r="Y3108" s="52"/>
      <c r="Z3108" s="52"/>
      <c r="AA3108" s="52"/>
      <c r="AB3108" s="52"/>
      <c r="AC3108" s="52"/>
      <c r="AD3108" s="52"/>
      <c r="AE3108" s="52"/>
      <c r="AF3108" s="52"/>
      <c r="AG3108" s="52"/>
      <c r="AH3108" s="52"/>
      <c r="AM3108" s="52"/>
      <c r="AN3108" s="52"/>
    </row>
    <row r="3109" spans="16:40" x14ac:dyDescent="0.2">
      <c r="P3109" s="52"/>
      <c r="Q3109" s="52"/>
      <c r="R3109" s="52"/>
      <c r="S3109" s="52"/>
      <c r="T3109" s="52"/>
      <c r="U3109" s="52"/>
      <c r="V3109" s="52"/>
      <c r="W3109" s="52"/>
      <c r="X3109" s="52"/>
      <c r="Y3109" s="52"/>
      <c r="Z3109" s="52"/>
      <c r="AA3109" s="52"/>
      <c r="AB3109" s="52"/>
      <c r="AC3109" s="52"/>
      <c r="AD3109" s="52"/>
      <c r="AE3109" s="52"/>
      <c r="AF3109" s="52"/>
      <c r="AG3109" s="52"/>
      <c r="AH3109" s="52"/>
      <c r="AM3109" s="52"/>
      <c r="AN3109" s="52"/>
    </row>
    <row r="3110" spans="16:40" x14ac:dyDescent="0.2">
      <c r="P3110" s="52"/>
      <c r="Q3110" s="52"/>
      <c r="R3110" s="52"/>
      <c r="S3110" s="52"/>
      <c r="T3110" s="52"/>
      <c r="U3110" s="52"/>
      <c r="V3110" s="52"/>
      <c r="W3110" s="52"/>
      <c r="X3110" s="52"/>
      <c r="Y3110" s="52"/>
      <c r="Z3110" s="52"/>
      <c r="AA3110" s="52"/>
      <c r="AB3110" s="52"/>
      <c r="AC3110" s="52"/>
      <c r="AD3110" s="52"/>
      <c r="AE3110" s="52"/>
      <c r="AF3110" s="52"/>
      <c r="AG3110" s="52"/>
      <c r="AH3110" s="52"/>
      <c r="AM3110" s="52"/>
      <c r="AN3110" s="52"/>
    </row>
    <row r="3111" spans="16:40" x14ac:dyDescent="0.2">
      <c r="P3111" s="52"/>
      <c r="Q3111" s="52"/>
      <c r="R3111" s="52"/>
      <c r="S3111" s="52"/>
      <c r="T3111" s="52"/>
      <c r="U3111" s="52"/>
      <c r="V3111" s="52"/>
      <c r="W3111" s="52"/>
      <c r="X3111" s="52"/>
      <c r="Y3111" s="52"/>
      <c r="Z3111" s="52"/>
      <c r="AA3111" s="52"/>
      <c r="AB3111" s="52"/>
      <c r="AC3111" s="52"/>
      <c r="AD3111" s="52"/>
      <c r="AE3111" s="52"/>
      <c r="AF3111" s="52"/>
      <c r="AG3111" s="52"/>
      <c r="AH3111" s="52"/>
      <c r="AM3111" s="52"/>
      <c r="AN3111" s="52"/>
    </row>
    <row r="3112" spans="16:40" x14ac:dyDescent="0.2">
      <c r="P3112" s="52"/>
      <c r="Q3112" s="52"/>
      <c r="R3112" s="52"/>
      <c r="S3112" s="52"/>
      <c r="T3112" s="52"/>
      <c r="U3112" s="52"/>
      <c r="V3112" s="52"/>
      <c r="W3112" s="52"/>
      <c r="X3112" s="52"/>
      <c r="Y3112" s="52"/>
      <c r="Z3112" s="52"/>
      <c r="AA3112" s="52"/>
      <c r="AB3112" s="52"/>
      <c r="AC3112" s="52"/>
      <c r="AD3112" s="52"/>
      <c r="AE3112" s="52"/>
      <c r="AF3112" s="52"/>
      <c r="AG3112" s="52"/>
      <c r="AH3112" s="52"/>
      <c r="AM3112" s="52"/>
      <c r="AN3112" s="52"/>
    </row>
    <row r="3113" spans="16:40" x14ac:dyDescent="0.2">
      <c r="P3113" s="52"/>
      <c r="Q3113" s="52"/>
      <c r="R3113" s="52"/>
      <c r="S3113" s="52"/>
      <c r="T3113" s="52"/>
      <c r="U3113" s="52"/>
      <c r="V3113" s="52"/>
      <c r="W3113" s="52"/>
      <c r="X3113" s="52"/>
      <c r="Y3113" s="52"/>
      <c r="Z3113" s="52"/>
      <c r="AA3113" s="52"/>
      <c r="AB3113" s="52"/>
      <c r="AC3113" s="52"/>
      <c r="AD3113" s="52"/>
      <c r="AE3113" s="52"/>
      <c r="AF3113" s="52"/>
      <c r="AG3113" s="52"/>
      <c r="AH3113" s="52"/>
      <c r="AM3113" s="52"/>
      <c r="AN3113" s="52"/>
    </row>
    <row r="3114" spans="16:40" x14ac:dyDescent="0.2">
      <c r="P3114" s="52"/>
      <c r="Q3114" s="52"/>
      <c r="R3114" s="52"/>
      <c r="S3114" s="52"/>
      <c r="T3114" s="52"/>
      <c r="U3114" s="52"/>
      <c r="V3114" s="52"/>
      <c r="W3114" s="52"/>
      <c r="X3114" s="52"/>
      <c r="Y3114" s="52"/>
      <c r="Z3114" s="52"/>
      <c r="AA3114" s="52"/>
      <c r="AB3114" s="52"/>
      <c r="AC3114" s="52"/>
      <c r="AD3114" s="52"/>
      <c r="AE3114" s="52"/>
      <c r="AF3114" s="52"/>
      <c r="AG3114" s="52"/>
      <c r="AH3114" s="52"/>
      <c r="AM3114" s="52"/>
      <c r="AN3114" s="52"/>
    </row>
    <row r="3115" spans="16:40" x14ac:dyDescent="0.2">
      <c r="P3115" s="52"/>
      <c r="Q3115" s="52"/>
      <c r="R3115" s="52"/>
      <c r="S3115" s="52"/>
      <c r="T3115" s="52"/>
      <c r="U3115" s="52"/>
      <c r="V3115" s="52"/>
      <c r="W3115" s="52"/>
      <c r="X3115" s="52"/>
      <c r="Y3115" s="52"/>
      <c r="Z3115" s="52"/>
      <c r="AA3115" s="52"/>
      <c r="AB3115" s="52"/>
      <c r="AC3115" s="52"/>
      <c r="AD3115" s="52"/>
      <c r="AE3115" s="52"/>
      <c r="AF3115" s="52"/>
      <c r="AG3115" s="52"/>
      <c r="AH3115" s="52"/>
      <c r="AM3115" s="52"/>
      <c r="AN3115" s="52"/>
    </row>
    <row r="3116" spans="16:40" x14ac:dyDescent="0.2">
      <c r="P3116" s="52"/>
      <c r="Q3116" s="52"/>
      <c r="R3116" s="52"/>
      <c r="S3116" s="52"/>
      <c r="T3116" s="52"/>
      <c r="U3116" s="52"/>
      <c r="V3116" s="52"/>
      <c r="W3116" s="52"/>
      <c r="X3116" s="52"/>
      <c r="Y3116" s="52"/>
      <c r="Z3116" s="52"/>
      <c r="AA3116" s="52"/>
      <c r="AB3116" s="52"/>
      <c r="AC3116" s="52"/>
      <c r="AD3116" s="52"/>
      <c r="AE3116" s="52"/>
      <c r="AF3116" s="52"/>
      <c r="AG3116" s="52"/>
      <c r="AH3116" s="52"/>
      <c r="AM3116" s="52"/>
      <c r="AN3116" s="52"/>
    </row>
    <row r="3117" spans="16:40" x14ac:dyDescent="0.2">
      <c r="P3117" s="52"/>
      <c r="Q3117" s="52"/>
      <c r="R3117" s="52"/>
      <c r="S3117" s="52"/>
      <c r="T3117" s="52"/>
      <c r="U3117" s="52"/>
      <c r="V3117" s="52"/>
      <c r="W3117" s="52"/>
      <c r="X3117" s="52"/>
      <c r="Y3117" s="52"/>
      <c r="Z3117" s="52"/>
      <c r="AA3117" s="52"/>
      <c r="AB3117" s="52"/>
      <c r="AC3117" s="52"/>
      <c r="AD3117" s="52"/>
      <c r="AE3117" s="52"/>
      <c r="AF3117" s="52"/>
      <c r="AG3117" s="52"/>
      <c r="AH3117" s="52"/>
      <c r="AM3117" s="52"/>
      <c r="AN3117" s="52"/>
    </row>
    <row r="3118" spans="16:40" x14ac:dyDescent="0.2">
      <c r="P3118" s="52"/>
      <c r="Q3118" s="52"/>
      <c r="R3118" s="52"/>
      <c r="S3118" s="52"/>
      <c r="T3118" s="52"/>
      <c r="U3118" s="52"/>
      <c r="V3118" s="52"/>
      <c r="W3118" s="52"/>
      <c r="X3118" s="52"/>
      <c r="Y3118" s="52"/>
      <c r="Z3118" s="52"/>
      <c r="AA3118" s="52"/>
      <c r="AB3118" s="52"/>
      <c r="AC3118" s="52"/>
      <c r="AD3118" s="52"/>
      <c r="AE3118" s="52"/>
      <c r="AF3118" s="52"/>
      <c r="AG3118" s="52"/>
      <c r="AH3118" s="52"/>
      <c r="AM3118" s="52"/>
      <c r="AN3118" s="52"/>
    </row>
    <row r="3119" spans="16:40" x14ac:dyDescent="0.2">
      <c r="P3119" s="52"/>
      <c r="Q3119" s="52"/>
      <c r="R3119" s="52"/>
      <c r="S3119" s="52"/>
      <c r="T3119" s="52"/>
      <c r="U3119" s="52"/>
      <c r="V3119" s="52"/>
      <c r="W3119" s="52"/>
      <c r="X3119" s="52"/>
      <c r="Y3119" s="52"/>
      <c r="Z3119" s="52"/>
      <c r="AA3119" s="52"/>
      <c r="AB3119" s="52"/>
      <c r="AC3119" s="52"/>
      <c r="AD3119" s="52"/>
      <c r="AE3119" s="52"/>
      <c r="AF3119" s="52"/>
      <c r="AG3119" s="52"/>
      <c r="AH3119" s="52"/>
      <c r="AM3119" s="52"/>
      <c r="AN3119" s="52"/>
    </row>
    <row r="3120" spans="16:40" x14ac:dyDescent="0.2">
      <c r="P3120" s="52"/>
      <c r="Q3120" s="52"/>
      <c r="R3120" s="52"/>
      <c r="S3120" s="52"/>
      <c r="T3120" s="52"/>
      <c r="U3120" s="52"/>
      <c r="V3120" s="52"/>
      <c r="W3120" s="52"/>
      <c r="X3120" s="52"/>
      <c r="Y3120" s="52"/>
      <c r="Z3120" s="52"/>
      <c r="AA3120" s="52"/>
      <c r="AB3120" s="52"/>
      <c r="AC3120" s="52"/>
      <c r="AD3120" s="52"/>
      <c r="AE3120" s="52"/>
      <c r="AF3120" s="52"/>
      <c r="AG3120" s="52"/>
      <c r="AH3120" s="52"/>
      <c r="AM3120" s="52"/>
      <c r="AN3120" s="52"/>
    </row>
    <row r="3121" spans="16:40" x14ac:dyDescent="0.2">
      <c r="P3121" s="52"/>
      <c r="Q3121" s="52"/>
      <c r="R3121" s="52"/>
      <c r="S3121" s="52"/>
      <c r="T3121" s="52"/>
      <c r="U3121" s="52"/>
      <c r="V3121" s="52"/>
      <c r="W3121" s="52"/>
      <c r="X3121" s="52"/>
      <c r="Y3121" s="52"/>
      <c r="Z3121" s="52"/>
      <c r="AA3121" s="52"/>
      <c r="AB3121" s="52"/>
      <c r="AC3121" s="52"/>
      <c r="AD3121" s="52"/>
      <c r="AE3121" s="52"/>
      <c r="AF3121" s="52"/>
      <c r="AG3121" s="52"/>
      <c r="AH3121" s="52"/>
      <c r="AM3121" s="52"/>
      <c r="AN3121" s="52"/>
    </row>
    <row r="3122" spans="16:40" x14ac:dyDescent="0.2">
      <c r="P3122" s="52"/>
      <c r="Q3122" s="52"/>
      <c r="R3122" s="52"/>
      <c r="S3122" s="52"/>
      <c r="T3122" s="52"/>
      <c r="U3122" s="52"/>
      <c r="V3122" s="52"/>
      <c r="W3122" s="52"/>
      <c r="X3122" s="52"/>
      <c r="Y3122" s="52"/>
      <c r="Z3122" s="52"/>
      <c r="AA3122" s="52"/>
      <c r="AB3122" s="52"/>
      <c r="AC3122" s="52"/>
      <c r="AD3122" s="52"/>
      <c r="AE3122" s="52"/>
      <c r="AF3122" s="52"/>
      <c r="AG3122" s="52"/>
      <c r="AH3122" s="52"/>
      <c r="AM3122" s="52"/>
      <c r="AN3122" s="52"/>
    </row>
    <row r="3123" spans="16:40" x14ac:dyDescent="0.2">
      <c r="P3123" s="52"/>
      <c r="Q3123" s="52"/>
      <c r="R3123" s="52"/>
      <c r="S3123" s="52"/>
      <c r="T3123" s="52"/>
      <c r="U3123" s="52"/>
      <c r="V3123" s="52"/>
      <c r="W3123" s="52"/>
      <c r="X3123" s="52"/>
      <c r="Y3123" s="52"/>
      <c r="Z3123" s="52"/>
      <c r="AA3123" s="52"/>
      <c r="AB3123" s="52"/>
      <c r="AC3123" s="52"/>
      <c r="AD3123" s="52"/>
      <c r="AE3123" s="52"/>
      <c r="AF3123" s="52"/>
      <c r="AG3123" s="52"/>
      <c r="AH3123" s="52"/>
      <c r="AM3123" s="52"/>
      <c r="AN3123" s="52"/>
    </row>
    <row r="3124" spans="16:40" x14ac:dyDescent="0.2">
      <c r="P3124" s="52"/>
      <c r="Q3124" s="52"/>
      <c r="R3124" s="52"/>
      <c r="S3124" s="52"/>
      <c r="T3124" s="52"/>
      <c r="U3124" s="52"/>
      <c r="V3124" s="52"/>
      <c r="W3124" s="52"/>
      <c r="X3124" s="52"/>
      <c r="Y3124" s="52"/>
      <c r="Z3124" s="52"/>
      <c r="AA3124" s="52"/>
      <c r="AB3124" s="52"/>
      <c r="AC3124" s="52"/>
      <c r="AD3124" s="52"/>
      <c r="AE3124" s="52"/>
      <c r="AF3124" s="52"/>
      <c r="AG3124" s="52"/>
      <c r="AH3124" s="52"/>
      <c r="AM3124" s="52"/>
      <c r="AN3124" s="52"/>
    </row>
    <row r="3125" spans="16:40" x14ac:dyDescent="0.2">
      <c r="P3125" s="52"/>
      <c r="Q3125" s="52"/>
      <c r="R3125" s="52"/>
      <c r="S3125" s="52"/>
      <c r="T3125" s="52"/>
      <c r="U3125" s="52"/>
      <c r="V3125" s="52"/>
      <c r="W3125" s="52"/>
      <c r="X3125" s="52"/>
      <c r="Y3125" s="52"/>
      <c r="Z3125" s="52"/>
      <c r="AA3125" s="52"/>
      <c r="AB3125" s="52"/>
      <c r="AC3125" s="52"/>
      <c r="AD3125" s="52"/>
      <c r="AE3125" s="52"/>
      <c r="AF3125" s="52"/>
      <c r="AG3125" s="52"/>
      <c r="AH3125" s="52"/>
      <c r="AM3125" s="52"/>
      <c r="AN3125" s="52"/>
    </row>
    <row r="3126" spans="16:40" x14ac:dyDescent="0.2">
      <c r="P3126" s="52"/>
      <c r="Q3126" s="52"/>
      <c r="R3126" s="52"/>
      <c r="S3126" s="52"/>
      <c r="T3126" s="52"/>
      <c r="U3126" s="52"/>
      <c r="V3126" s="52"/>
      <c r="W3126" s="52"/>
      <c r="X3126" s="52"/>
      <c r="Y3126" s="52"/>
      <c r="Z3126" s="52"/>
      <c r="AA3126" s="52"/>
      <c r="AB3126" s="52"/>
      <c r="AC3126" s="52"/>
      <c r="AD3126" s="52"/>
      <c r="AE3126" s="52"/>
      <c r="AF3126" s="52"/>
      <c r="AG3126" s="52"/>
      <c r="AH3126" s="52"/>
      <c r="AM3126" s="52"/>
      <c r="AN3126" s="52"/>
    </row>
    <row r="3127" spans="16:40" x14ac:dyDescent="0.2">
      <c r="P3127" s="52"/>
      <c r="Q3127" s="52"/>
      <c r="R3127" s="52"/>
      <c r="S3127" s="52"/>
      <c r="T3127" s="52"/>
      <c r="U3127" s="52"/>
      <c r="V3127" s="52"/>
      <c r="W3127" s="52"/>
      <c r="X3127" s="52"/>
      <c r="Y3127" s="52"/>
      <c r="Z3127" s="52"/>
      <c r="AA3127" s="52"/>
      <c r="AB3127" s="52"/>
      <c r="AC3127" s="52"/>
      <c r="AD3127" s="52"/>
      <c r="AE3127" s="52"/>
      <c r="AF3127" s="52"/>
      <c r="AG3127" s="52"/>
      <c r="AH3127" s="52"/>
      <c r="AM3127" s="52"/>
      <c r="AN3127" s="52"/>
    </row>
    <row r="3128" spans="16:40" x14ac:dyDescent="0.2">
      <c r="P3128" s="52"/>
      <c r="Q3128" s="52"/>
      <c r="R3128" s="52"/>
      <c r="S3128" s="52"/>
      <c r="T3128" s="52"/>
      <c r="U3128" s="52"/>
      <c r="V3128" s="52"/>
      <c r="W3128" s="52"/>
      <c r="X3128" s="52"/>
      <c r="Y3128" s="52"/>
      <c r="Z3128" s="52"/>
      <c r="AA3128" s="52"/>
      <c r="AB3128" s="52"/>
      <c r="AC3128" s="52"/>
      <c r="AD3128" s="52"/>
      <c r="AE3128" s="52"/>
      <c r="AF3128" s="52"/>
      <c r="AG3128" s="52"/>
      <c r="AH3128" s="52"/>
      <c r="AM3128" s="52"/>
      <c r="AN3128" s="52"/>
    </row>
    <row r="3129" spans="16:40" x14ac:dyDescent="0.2">
      <c r="P3129" s="52"/>
      <c r="Q3129" s="52"/>
      <c r="R3129" s="52"/>
      <c r="S3129" s="52"/>
      <c r="T3129" s="52"/>
      <c r="U3129" s="52"/>
      <c r="V3129" s="52"/>
      <c r="W3129" s="52"/>
      <c r="X3129" s="52"/>
      <c r="Y3129" s="52"/>
      <c r="Z3129" s="52"/>
      <c r="AA3129" s="52"/>
      <c r="AB3129" s="52"/>
      <c r="AC3129" s="52"/>
      <c r="AD3129" s="52"/>
      <c r="AE3129" s="52"/>
      <c r="AF3129" s="52"/>
      <c r="AG3129" s="52"/>
      <c r="AH3129" s="52"/>
      <c r="AM3129" s="52"/>
      <c r="AN3129" s="52"/>
    </row>
    <row r="3130" spans="16:40" x14ac:dyDescent="0.2">
      <c r="P3130" s="52"/>
      <c r="Q3130" s="52"/>
      <c r="R3130" s="52"/>
      <c r="S3130" s="52"/>
      <c r="T3130" s="52"/>
      <c r="U3130" s="52"/>
      <c r="V3130" s="52"/>
      <c r="W3130" s="52"/>
      <c r="X3130" s="52"/>
      <c r="Y3130" s="52"/>
      <c r="Z3130" s="52"/>
      <c r="AA3130" s="52"/>
      <c r="AB3130" s="52"/>
      <c r="AC3130" s="52"/>
      <c r="AD3130" s="52"/>
      <c r="AE3130" s="52"/>
      <c r="AF3130" s="52"/>
      <c r="AG3130" s="52"/>
      <c r="AH3130" s="52"/>
      <c r="AM3130" s="52"/>
      <c r="AN3130" s="52"/>
    </row>
    <row r="3131" spans="16:40" x14ac:dyDescent="0.2">
      <c r="P3131" s="52"/>
      <c r="Q3131" s="52"/>
      <c r="R3131" s="52"/>
      <c r="S3131" s="52"/>
      <c r="T3131" s="52"/>
      <c r="U3131" s="52"/>
      <c r="V3131" s="52"/>
      <c r="W3131" s="52"/>
      <c r="X3131" s="52"/>
      <c r="Y3131" s="52"/>
      <c r="Z3131" s="52"/>
      <c r="AA3131" s="52"/>
      <c r="AB3131" s="52"/>
      <c r="AC3131" s="52"/>
      <c r="AD3131" s="52"/>
      <c r="AE3131" s="52"/>
      <c r="AF3131" s="52"/>
      <c r="AG3131" s="52"/>
      <c r="AH3131" s="52"/>
      <c r="AM3131" s="52"/>
      <c r="AN3131" s="52"/>
    </row>
    <row r="3132" spans="16:40" x14ac:dyDescent="0.2">
      <c r="P3132" s="52"/>
      <c r="Q3132" s="52"/>
      <c r="R3132" s="52"/>
      <c r="S3132" s="52"/>
      <c r="T3132" s="52"/>
      <c r="U3132" s="52"/>
      <c r="V3132" s="52"/>
      <c r="W3132" s="52"/>
      <c r="X3132" s="52"/>
      <c r="Y3132" s="52"/>
      <c r="Z3132" s="52"/>
      <c r="AA3132" s="52"/>
      <c r="AB3132" s="52"/>
      <c r="AC3132" s="52"/>
      <c r="AD3132" s="52"/>
      <c r="AE3132" s="52"/>
      <c r="AF3132" s="52"/>
      <c r="AG3132" s="52"/>
      <c r="AH3132" s="52"/>
      <c r="AM3132" s="52"/>
      <c r="AN3132" s="52"/>
    </row>
    <row r="3133" spans="16:40" x14ac:dyDescent="0.2">
      <c r="P3133" s="52"/>
      <c r="Q3133" s="52"/>
      <c r="R3133" s="52"/>
      <c r="S3133" s="52"/>
      <c r="T3133" s="52"/>
      <c r="U3133" s="52"/>
      <c r="V3133" s="52"/>
      <c r="W3133" s="52"/>
      <c r="X3133" s="52"/>
      <c r="Y3133" s="52"/>
      <c r="Z3133" s="52"/>
      <c r="AA3133" s="52"/>
      <c r="AB3133" s="52"/>
      <c r="AC3133" s="52"/>
      <c r="AD3133" s="52"/>
      <c r="AE3133" s="52"/>
      <c r="AF3133" s="52"/>
      <c r="AG3133" s="52"/>
      <c r="AH3133" s="52"/>
      <c r="AM3133" s="52"/>
      <c r="AN3133" s="52"/>
    </row>
    <row r="3134" spans="16:40" x14ac:dyDescent="0.2">
      <c r="P3134" s="52"/>
      <c r="Q3134" s="52"/>
      <c r="R3134" s="52"/>
      <c r="S3134" s="52"/>
      <c r="T3134" s="52"/>
      <c r="U3134" s="52"/>
      <c r="V3134" s="52"/>
      <c r="W3134" s="52"/>
      <c r="X3134" s="52"/>
      <c r="Y3134" s="52"/>
      <c r="Z3134" s="52"/>
      <c r="AA3134" s="52"/>
      <c r="AB3134" s="52"/>
      <c r="AC3134" s="52"/>
      <c r="AD3134" s="52"/>
      <c r="AE3134" s="52"/>
      <c r="AF3134" s="52"/>
      <c r="AG3134" s="52"/>
      <c r="AH3134" s="52"/>
      <c r="AM3134" s="52"/>
      <c r="AN3134" s="52"/>
    </row>
    <row r="3135" spans="16:40" x14ac:dyDescent="0.2">
      <c r="P3135" s="52"/>
      <c r="Q3135" s="52"/>
      <c r="R3135" s="52"/>
      <c r="S3135" s="52"/>
      <c r="T3135" s="52"/>
      <c r="U3135" s="52"/>
      <c r="V3135" s="52"/>
      <c r="W3135" s="52"/>
      <c r="X3135" s="52"/>
      <c r="Y3135" s="52"/>
      <c r="Z3135" s="52"/>
      <c r="AA3135" s="52"/>
      <c r="AB3135" s="52"/>
      <c r="AC3135" s="52"/>
      <c r="AD3135" s="52"/>
      <c r="AE3135" s="52"/>
      <c r="AF3135" s="52"/>
      <c r="AG3135" s="52"/>
      <c r="AH3135" s="52"/>
      <c r="AM3135" s="52"/>
      <c r="AN3135" s="52"/>
    </row>
    <row r="3136" spans="16:40" x14ac:dyDescent="0.2">
      <c r="P3136" s="52"/>
      <c r="Q3136" s="52"/>
      <c r="R3136" s="52"/>
      <c r="S3136" s="52"/>
      <c r="T3136" s="52"/>
      <c r="U3136" s="52"/>
      <c r="V3136" s="52"/>
      <c r="W3136" s="52"/>
      <c r="X3136" s="52"/>
      <c r="Y3136" s="52"/>
      <c r="Z3136" s="52"/>
      <c r="AA3136" s="52"/>
      <c r="AB3136" s="52"/>
      <c r="AC3136" s="52"/>
      <c r="AD3136" s="52"/>
      <c r="AE3136" s="52"/>
      <c r="AF3136" s="52"/>
      <c r="AG3136" s="52"/>
      <c r="AH3136" s="52"/>
      <c r="AM3136" s="52"/>
      <c r="AN3136" s="52"/>
    </row>
    <row r="3137" spans="16:40" x14ac:dyDescent="0.2">
      <c r="P3137" s="52"/>
      <c r="Q3137" s="52"/>
      <c r="R3137" s="52"/>
      <c r="S3137" s="52"/>
      <c r="T3137" s="52"/>
      <c r="U3137" s="52"/>
      <c r="V3137" s="52"/>
      <c r="W3137" s="52"/>
      <c r="X3137" s="52"/>
      <c r="Y3137" s="52"/>
      <c r="Z3137" s="52"/>
      <c r="AA3137" s="52"/>
      <c r="AB3137" s="52"/>
      <c r="AC3137" s="52"/>
      <c r="AD3137" s="52"/>
      <c r="AE3137" s="52"/>
      <c r="AF3137" s="52"/>
      <c r="AG3137" s="52"/>
      <c r="AH3137" s="52"/>
      <c r="AM3137" s="52"/>
      <c r="AN3137" s="52"/>
    </row>
    <row r="3138" spans="16:40" x14ac:dyDescent="0.2"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2"/>
      <c r="AA3138" s="52"/>
      <c r="AB3138" s="52"/>
      <c r="AC3138" s="52"/>
      <c r="AD3138" s="52"/>
      <c r="AE3138" s="52"/>
      <c r="AF3138" s="52"/>
      <c r="AG3138" s="52"/>
      <c r="AH3138" s="52"/>
      <c r="AM3138" s="52"/>
      <c r="AN3138" s="52"/>
    </row>
    <row r="3139" spans="16:40" x14ac:dyDescent="0.2">
      <c r="P3139" s="52"/>
      <c r="Q3139" s="52"/>
      <c r="R3139" s="52"/>
      <c r="S3139" s="52"/>
      <c r="T3139" s="52"/>
      <c r="U3139" s="52"/>
      <c r="V3139" s="52"/>
      <c r="W3139" s="52"/>
      <c r="X3139" s="52"/>
      <c r="Y3139" s="52"/>
      <c r="Z3139" s="52"/>
      <c r="AA3139" s="52"/>
      <c r="AB3139" s="52"/>
      <c r="AC3139" s="52"/>
      <c r="AD3139" s="52"/>
      <c r="AE3139" s="52"/>
      <c r="AF3139" s="52"/>
      <c r="AG3139" s="52"/>
      <c r="AH3139" s="52"/>
      <c r="AM3139" s="52"/>
      <c r="AN3139" s="52"/>
    </row>
    <row r="3140" spans="16:40" x14ac:dyDescent="0.2">
      <c r="P3140" s="52"/>
      <c r="Q3140" s="52"/>
      <c r="R3140" s="52"/>
      <c r="S3140" s="52"/>
      <c r="T3140" s="52"/>
      <c r="U3140" s="52"/>
      <c r="V3140" s="52"/>
      <c r="W3140" s="52"/>
      <c r="X3140" s="52"/>
      <c r="Y3140" s="52"/>
      <c r="Z3140" s="52"/>
      <c r="AA3140" s="52"/>
      <c r="AB3140" s="52"/>
      <c r="AC3140" s="52"/>
      <c r="AD3140" s="52"/>
      <c r="AE3140" s="52"/>
      <c r="AF3140" s="52"/>
      <c r="AG3140" s="52"/>
      <c r="AH3140" s="52"/>
      <c r="AM3140" s="52"/>
      <c r="AN3140" s="52"/>
    </row>
    <row r="3141" spans="16:40" x14ac:dyDescent="0.2">
      <c r="P3141" s="52"/>
      <c r="Q3141" s="52"/>
      <c r="R3141" s="52"/>
      <c r="S3141" s="52"/>
      <c r="T3141" s="52"/>
      <c r="U3141" s="52"/>
      <c r="V3141" s="52"/>
      <c r="W3141" s="52"/>
      <c r="X3141" s="52"/>
      <c r="Y3141" s="52"/>
      <c r="Z3141" s="52"/>
      <c r="AA3141" s="52"/>
      <c r="AB3141" s="52"/>
      <c r="AC3141" s="52"/>
      <c r="AD3141" s="52"/>
      <c r="AE3141" s="52"/>
      <c r="AF3141" s="52"/>
      <c r="AG3141" s="52"/>
      <c r="AH3141" s="52"/>
      <c r="AM3141" s="52"/>
      <c r="AN3141" s="52"/>
    </row>
    <row r="3142" spans="16:40" x14ac:dyDescent="0.2">
      <c r="P3142" s="52"/>
      <c r="Q3142" s="52"/>
      <c r="R3142" s="52"/>
      <c r="S3142" s="52"/>
      <c r="T3142" s="52"/>
      <c r="U3142" s="52"/>
      <c r="V3142" s="52"/>
      <c r="W3142" s="52"/>
      <c r="X3142" s="52"/>
      <c r="Y3142" s="52"/>
      <c r="Z3142" s="52"/>
      <c r="AA3142" s="52"/>
      <c r="AB3142" s="52"/>
      <c r="AC3142" s="52"/>
      <c r="AD3142" s="52"/>
      <c r="AE3142" s="52"/>
      <c r="AF3142" s="52"/>
      <c r="AG3142" s="52"/>
      <c r="AH3142" s="52"/>
      <c r="AM3142" s="52"/>
      <c r="AN3142" s="52"/>
    </row>
    <row r="3143" spans="16:40" x14ac:dyDescent="0.2">
      <c r="P3143" s="52"/>
      <c r="Q3143" s="52"/>
      <c r="R3143" s="52"/>
      <c r="S3143" s="52"/>
      <c r="T3143" s="52"/>
      <c r="U3143" s="52"/>
      <c r="V3143" s="52"/>
      <c r="W3143" s="52"/>
      <c r="X3143" s="52"/>
      <c r="Y3143" s="52"/>
      <c r="Z3143" s="52"/>
      <c r="AA3143" s="52"/>
      <c r="AB3143" s="52"/>
      <c r="AC3143" s="52"/>
      <c r="AD3143" s="52"/>
      <c r="AE3143" s="52"/>
      <c r="AF3143" s="52"/>
      <c r="AG3143" s="52"/>
      <c r="AH3143" s="52"/>
      <c r="AM3143" s="52"/>
      <c r="AN3143" s="52"/>
    </row>
    <row r="3144" spans="16:40" x14ac:dyDescent="0.2">
      <c r="P3144" s="52"/>
      <c r="Q3144" s="52"/>
      <c r="R3144" s="52"/>
      <c r="S3144" s="52"/>
      <c r="T3144" s="52"/>
      <c r="U3144" s="52"/>
      <c r="V3144" s="52"/>
      <c r="W3144" s="52"/>
      <c r="X3144" s="52"/>
      <c r="Y3144" s="52"/>
      <c r="Z3144" s="52"/>
      <c r="AA3144" s="52"/>
      <c r="AB3144" s="52"/>
      <c r="AC3144" s="52"/>
      <c r="AD3144" s="52"/>
      <c r="AE3144" s="52"/>
      <c r="AF3144" s="52"/>
      <c r="AG3144" s="52"/>
      <c r="AH3144" s="52"/>
      <c r="AM3144" s="52"/>
      <c r="AN3144" s="52"/>
    </row>
    <row r="3145" spans="16:40" x14ac:dyDescent="0.2">
      <c r="P3145" s="52"/>
      <c r="Q3145" s="52"/>
      <c r="R3145" s="52"/>
      <c r="S3145" s="52"/>
      <c r="T3145" s="52"/>
      <c r="U3145" s="52"/>
      <c r="V3145" s="52"/>
      <c r="W3145" s="52"/>
      <c r="X3145" s="52"/>
      <c r="Y3145" s="52"/>
      <c r="Z3145" s="52"/>
      <c r="AA3145" s="52"/>
      <c r="AB3145" s="52"/>
      <c r="AC3145" s="52"/>
      <c r="AD3145" s="52"/>
      <c r="AE3145" s="52"/>
      <c r="AF3145" s="52"/>
      <c r="AG3145" s="52"/>
      <c r="AH3145" s="52"/>
      <c r="AM3145" s="52"/>
      <c r="AN3145" s="52"/>
    </row>
    <row r="3146" spans="16:40" x14ac:dyDescent="0.2">
      <c r="P3146" s="52"/>
      <c r="Q3146" s="52"/>
      <c r="R3146" s="52"/>
      <c r="S3146" s="52"/>
      <c r="T3146" s="52"/>
      <c r="U3146" s="52"/>
      <c r="V3146" s="52"/>
      <c r="W3146" s="52"/>
      <c r="X3146" s="52"/>
      <c r="Y3146" s="52"/>
      <c r="Z3146" s="52"/>
      <c r="AA3146" s="52"/>
      <c r="AB3146" s="52"/>
      <c r="AC3146" s="52"/>
      <c r="AD3146" s="52"/>
      <c r="AE3146" s="52"/>
      <c r="AF3146" s="52"/>
      <c r="AG3146" s="52"/>
      <c r="AH3146" s="52"/>
      <c r="AM3146" s="52"/>
      <c r="AN3146" s="52"/>
    </row>
    <row r="3147" spans="16:40" x14ac:dyDescent="0.2">
      <c r="P3147" s="52"/>
      <c r="Q3147" s="52"/>
      <c r="R3147" s="52"/>
      <c r="S3147" s="52"/>
      <c r="T3147" s="52"/>
      <c r="U3147" s="52"/>
      <c r="V3147" s="52"/>
      <c r="W3147" s="52"/>
      <c r="X3147" s="52"/>
      <c r="Y3147" s="52"/>
      <c r="Z3147" s="52"/>
      <c r="AA3147" s="52"/>
      <c r="AB3147" s="52"/>
      <c r="AC3147" s="52"/>
      <c r="AD3147" s="52"/>
      <c r="AE3147" s="52"/>
      <c r="AF3147" s="52"/>
      <c r="AG3147" s="52"/>
      <c r="AH3147" s="52"/>
      <c r="AM3147" s="52"/>
      <c r="AN3147" s="52"/>
    </row>
    <row r="3148" spans="16:40" x14ac:dyDescent="0.2">
      <c r="P3148" s="52"/>
      <c r="Q3148" s="52"/>
      <c r="R3148" s="52"/>
      <c r="S3148" s="52"/>
      <c r="T3148" s="52"/>
      <c r="U3148" s="52"/>
      <c r="V3148" s="52"/>
      <c r="W3148" s="52"/>
      <c r="X3148" s="52"/>
      <c r="Y3148" s="52"/>
      <c r="Z3148" s="52"/>
      <c r="AA3148" s="52"/>
      <c r="AB3148" s="52"/>
      <c r="AC3148" s="52"/>
      <c r="AD3148" s="52"/>
      <c r="AE3148" s="52"/>
      <c r="AF3148" s="52"/>
      <c r="AG3148" s="52"/>
      <c r="AH3148" s="52"/>
      <c r="AM3148" s="52"/>
      <c r="AN3148" s="52"/>
    </row>
    <row r="3149" spans="16:40" x14ac:dyDescent="0.2">
      <c r="P3149" s="52"/>
      <c r="Q3149" s="52"/>
      <c r="R3149" s="52"/>
      <c r="S3149" s="52"/>
      <c r="T3149" s="52"/>
      <c r="U3149" s="52"/>
      <c r="V3149" s="52"/>
      <c r="W3149" s="52"/>
      <c r="X3149" s="52"/>
      <c r="Y3149" s="52"/>
      <c r="Z3149" s="52"/>
      <c r="AA3149" s="52"/>
      <c r="AB3149" s="52"/>
      <c r="AC3149" s="52"/>
      <c r="AD3149" s="52"/>
      <c r="AE3149" s="52"/>
      <c r="AF3149" s="52"/>
      <c r="AG3149" s="52"/>
      <c r="AH3149" s="52"/>
      <c r="AM3149" s="52"/>
      <c r="AN3149" s="52"/>
    </row>
    <row r="3150" spans="16:40" x14ac:dyDescent="0.2">
      <c r="P3150" s="52"/>
      <c r="Q3150" s="52"/>
      <c r="R3150" s="52"/>
      <c r="S3150" s="52"/>
      <c r="T3150" s="52"/>
      <c r="U3150" s="52"/>
      <c r="V3150" s="52"/>
      <c r="W3150" s="52"/>
      <c r="X3150" s="52"/>
      <c r="Y3150" s="52"/>
      <c r="Z3150" s="52"/>
      <c r="AA3150" s="52"/>
      <c r="AB3150" s="52"/>
      <c r="AC3150" s="52"/>
      <c r="AD3150" s="52"/>
      <c r="AE3150" s="52"/>
      <c r="AF3150" s="52"/>
      <c r="AG3150" s="52"/>
      <c r="AH3150" s="52"/>
      <c r="AM3150" s="52"/>
      <c r="AN3150" s="52"/>
    </row>
    <row r="3151" spans="16:40" x14ac:dyDescent="0.2">
      <c r="P3151" s="52"/>
      <c r="Q3151" s="52"/>
      <c r="R3151" s="52"/>
      <c r="S3151" s="52"/>
      <c r="T3151" s="52"/>
      <c r="U3151" s="52"/>
      <c r="V3151" s="52"/>
      <c r="W3151" s="52"/>
      <c r="X3151" s="52"/>
      <c r="Y3151" s="52"/>
      <c r="Z3151" s="52"/>
      <c r="AA3151" s="52"/>
      <c r="AB3151" s="52"/>
      <c r="AC3151" s="52"/>
      <c r="AD3151" s="52"/>
      <c r="AE3151" s="52"/>
      <c r="AF3151" s="52"/>
      <c r="AG3151" s="52"/>
      <c r="AH3151" s="52"/>
      <c r="AM3151" s="52"/>
      <c r="AN3151" s="52"/>
    </row>
    <row r="3152" spans="16:40" x14ac:dyDescent="0.2">
      <c r="P3152" s="52"/>
      <c r="Q3152" s="52"/>
      <c r="R3152" s="52"/>
      <c r="S3152" s="52"/>
      <c r="T3152" s="52"/>
      <c r="U3152" s="52"/>
      <c r="V3152" s="52"/>
      <c r="W3152" s="52"/>
      <c r="X3152" s="52"/>
      <c r="Y3152" s="52"/>
      <c r="Z3152" s="52"/>
      <c r="AA3152" s="52"/>
      <c r="AB3152" s="52"/>
      <c r="AC3152" s="52"/>
      <c r="AD3152" s="52"/>
      <c r="AE3152" s="52"/>
      <c r="AF3152" s="52"/>
      <c r="AG3152" s="52"/>
      <c r="AH3152" s="52"/>
      <c r="AM3152" s="52"/>
      <c r="AN3152" s="52"/>
    </row>
    <row r="3153" spans="16:40" x14ac:dyDescent="0.2">
      <c r="P3153" s="52"/>
      <c r="Q3153" s="52"/>
      <c r="R3153" s="52"/>
      <c r="S3153" s="52"/>
      <c r="T3153" s="52"/>
      <c r="U3153" s="52"/>
      <c r="V3153" s="52"/>
      <c r="W3153" s="52"/>
      <c r="X3153" s="52"/>
      <c r="Y3153" s="52"/>
      <c r="Z3153" s="52"/>
      <c r="AA3153" s="52"/>
      <c r="AB3153" s="52"/>
      <c r="AC3153" s="52"/>
      <c r="AD3153" s="52"/>
      <c r="AE3153" s="52"/>
      <c r="AF3153" s="52"/>
      <c r="AG3153" s="52"/>
      <c r="AH3153" s="52"/>
      <c r="AM3153" s="52"/>
      <c r="AN3153" s="52"/>
    </row>
    <row r="3154" spans="16:40" x14ac:dyDescent="0.2">
      <c r="P3154" s="52"/>
      <c r="Q3154" s="52"/>
      <c r="R3154" s="52"/>
      <c r="S3154" s="52"/>
      <c r="T3154" s="52"/>
      <c r="U3154" s="52"/>
      <c r="V3154" s="52"/>
      <c r="W3154" s="52"/>
      <c r="X3154" s="52"/>
      <c r="Y3154" s="52"/>
      <c r="Z3154" s="52"/>
      <c r="AA3154" s="52"/>
      <c r="AB3154" s="52"/>
      <c r="AC3154" s="52"/>
      <c r="AD3154" s="52"/>
      <c r="AE3154" s="52"/>
      <c r="AF3154" s="52"/>
      <c r="AG3154" s="52"/>
      <c r="AH3154" s="52"/>
      <c r="AM3154" s="52"/>
      <c r="AN3154" s="52"/>
    </row>
    <row r="3155" spans="16:40" x14ac:dyDescent="0.2">
      <c r="P3155" s="52"/>
      <c r="Q3155" s="52"/>
      <c r="R3155" s="52"/>
      <c r="S3155" s="52"/>
      <c r="T3155" s="52"/>
      <c r="U3155" s="52"/>
      <c r="V3155" s="52"/>
      <c r="W3155" s="52"/>
      <c r="X3155" s="52"/>
      <c r="Y3155" s="52"/>
      <c r="Z3155" s="52"/>
      <c r="AA3155" s="52"/>
      <c r="AB3155" s="52"/>
      <c r="AC3155" s="52"/>
      <c r="AD3155" s="52"/>
      <c r="AE3155" s="52"/>
      <c r="AF3155" s="52"/>
      <c r="AG3155" s="52"/>
      <c r="AH3155" s="52"/>
      <c r="AM3155" s="52"/>
      <c r="AN3155" s="52"/>
    </row>
    <row r="3156" spans="16:40" x14ac:dyDescent="0.2">
      <c r="P3156" s="52"/>
      <c r="Q3156" s="52"/>
      <c r="R3156" s="52"/>
      <c r="S3156" s="52"/>
      <c r="T3156" s="52"/>
      <c r="U3156" s="52"/>
      <c r="V3156" s="52"/>
      <c r="W3156" s="52"/>
      <c r="X3156" s="52"/>
      <c r="Y3156" s="52"/>
      <c r="Z3156" s="52"/>
      <c r="AA3156" s="52"/>
      <c r="AB3156" s="52"/>
      <c r="AC3156" s="52"/>
      <c r="AD3156" s="52"/>
      <c r="AE3156" s="52"/>
      <c r="AF3156" s="52"/>
      <c r="AG3156" s="52"/>
      <c r="AH3156" s="52"/>
      <c r="AM3156" s="52"/>
      <c r="AN3156" s="52"/>
    </row>
    <row r="3157" spans="16:40" x14ac:dyDescent="0.2">
      <c r="P3157" s="52"/>
      <c r="Q3157" s="52"/>
      <c r="R3157" s="52"/>
      <c r="S3157" s="52"/>
      <c r="T3157" s="52"/>
      <c r="U3157" s="52"/>
      <c r="V3157" s="52"/>
      <c r="W3157" s="52"/>
      <c r="X3157" s="52"/>
      <c r="Y3157" s="52"/>
      <c r="Z3157" s="52"/>
      <c r="AA3157" s="52"/>
      <c r="AB3157" s="52"/>
      <c r="AC3157" s="52"/>
      <c r="AD3157" s="52"/>
      <c r="AE3157" s="52"/>
      <c r="AF3157" s="52"/>
      <c r="AG3157" s="52"/>
      <c r="AH3157" s="52"/>
      <c r="AM3157" s="52"/>
      <c r="AN3157" s="52"/>
    </row>
    <row r="3158" spans="16:40" x14ac:dyDescent="0.2">
      <c r="P3158" s="52"/>
      <c r="Q3158" s="52"/>
      <c r="R3158" s="52"/>
      <c r="S3158" s="52"/>
      <c r="T3158" s="52"/>
      <c r="U3158" s="52"/>
      <c r="V3158" s="52"/>
      <c r="W3158" s="52"/>
      <c r="X3158" s="52"/>
      <c r="Y3158" s="52"/>
      <c r="Z3158" s="52"/>
      <c r="AA3158" s="52"/>
      <c r="AB3158" s="52"/>
      <c r="AC3158" s="52"/>
      <c r="AD3158" s="52"/>
      <c r="AE3158" s="52"/>
      <c r="AF3158" s="52"/>
      <c r="AG3158" s="52"/>
      <c r="AH3158" s="52"/>
      <c r="AM3158" s="52"/>
      <c r="AN3158" s="52"/>
    </row>
    <row r="3159" spans="16:40" x14ac:dyDescent="0.2">
      <c r="P3159" s="52"/>
      <c r="Q3159" s="52"/>
      <c r="R3159" s="52"/>
      <c r="S3159" s="52"/>
      <c r="T3159" s="52"/>
      <c r="U3159" s="52"/>
      <c r="V3159" s="52"/>
      <c r="W3159" s="52"/>
      <c r="X3159" s="52"/>
      <c r="Y3159" s="52"/>
      <c r="Z3159" s="52"/>
      <c r="AA3159" s="52"/>
      <c r="AB3159" s="52"/>
      <c r="AC3159" s="52"/>
      <c r="AD3159" s="52"/>
      <c r="AE3159" s="52"/>
      <c r="AF3159" s="52"/>
      <c r="AG3159" s="52"/>
      <c r="AH3159" s="52"/>
      <c r="AM3159" s="52"/>
      <c r="AN3159" s="52"/>
    </row>
    <row r="3160" spans="16:40" x14ac:dyDescent="0.2">
      <c r="P3160" s="52"/>
      <c r="Q3160" s="52"/>
      <c r="R3160" s="52"/>
      <c r="S3160" s="52"/>
      <c r="T3160" s="52"/>
      <c r="U3160" s="52"/>
      <c r="V3160" s="52"/>
      <c r="W3160" s="52"/>
      <c r="X3160" s="52"/>
      <c r="Y3160" s="52"/>
      <c r="Z3160" s="52"/>
      <c r="AA3160" s="52"/>
      <c r="AB3160" s="52"/>
      <c r="AC3160" s="52"/>
      <c r="AD3160" s="52"/>
      <c r="AE3160" s="52"/>
      <c r="AF3160" s="52"/>
      <c r="AG3160" s="52"/>
      <c r="AH3160" s="52"/>
      <c r="AM3160" s="52"/>
      <c r="AN3160" s="52"/>
    </row>
    <row r="3161" spans="16:40" x14ac:dyDescent="0.2">
      <c r="P3161" s="52"/>
      <c r="Q3161" s="52"/>
      <c r="R3161" s="52"/>
      <c r="S3161" s="52"/>
      <c r="T3161" s="52"/>
      <c r="U3161" s="52"/>
      <c r="V3161" s="52"/>
      <c r="W3161" s="52"/>
      <c r="X3161" s="52"/>
      <c r="Y3161" s="52"/>
      <c r="Z3161" s="52"/>
      <c r="AA3161" s="52"/>
      <c r="AB3161" s="52"/>
      <c r="AC3161" s="52"/>
      <c r="AD3161" s="52"/>
      <c r="AE3161" s="52"/>
      <c r="AF3161" s="52"/>
      <c r="AG3161" s="52"/>
      <c r="AH3161" s="52"/>
      <c r="AM3161" s="52"/>
      <c r="AN3161" s="52"/>
    </row>
    <row r="3162" spans="16:40" x14ac:dyDescent="0.2">
      <c r="P3162" s="52"/>
      <c r="Q3162" s="52"/>
      <c r="R3162" s="52"/>
      <c r="S3162" s="52"/>
      <c r="T3162" s="52"/>
      <c r="U3162" s="52"/>
      <c r="V3162" s="52"/>
      <c r="W3162" s="52"/>
      <c r="X3162" s="52"/>
      <c r="Y3162" s="52"/>
      <c r="Z3162" s="52"/>
      <c r="AA3162" s="52"/>
      <c r="AB3162" s="52"/>
      <c r="AC3162" s="52"/>
      <c r="AD3162" s="52"/>
      <c r="AE3162" s="52"/>
      <c r="AF3162" s="52"/>
      <c r="AG3162" s="52"/>
      <c r="AH3162" s="52"/>
      <c r="AM3162" s="52"/>
      <c r="AN3162" s="52"/>
    </row>
    <row r="3163" spans="16:40" x14ac:dyDescent="0.2">
      <c r="P3163" s="52"/>
      <c r="Q3163" s="52"/>
      <c r="R3163" s="52"/>
      <c r="S3163" s="52"/>
      <c r="T3163" s="52"/>
      <c r="U3163" s="52"/>
      <c r="V3163" s="52"/>
      <c r="W3163" s="52"/>
      <c r="X3163" s="52"/>
      <c r="Y3163" s="52"/>
      <c r="Z3163" s="52"/>
      <c r="AA3163" s="52"/>
      <c r="AB3163" s="52"/>
      <c r="AC3163" s="52"/>
      <c r="AD3163" s="52"/>
      <c r="AE3163" s="52"/>
      <c r="AF3163" s="52"/>
      <c r="AG3163" s="52"/>
      <c r="AH3163" s="52"/>
      <c r="AM3163" s="52"/>
      <c r="AN3163" s="52"/>
    </row>
    <row r="3164" spans="16:40" x14ac:dyDescent="0.2">
      <c r="P3164" s="52"/>
      <c r="Q3164" s="52"/>
      <c r="R3164" s="52"/>
      <c r="S3164" s="52"/>
      <c r="T3164" s="52"/>
      <c r="U3164" s="52"/>
      <c r="V3164" s="52"/>
      <c r="W3164" s="52"/>
      <c r="X3164" s="52"/>
      <c r="Y3164" s="52"/>
      <c r="Z3164" s="52"/>
      <c r="AA3164" s="52"/>
      <c r="AB3164" s="52"/>
      <c r="AC3164" s="52"/>
      <c r="AD3164" s="52"/>
      <c r="AE3164" s="52"/>
      <c r="AF3164" s="52"/>
      <c r="AG3164" s="52"/>
      <c r="AH3164" s="52"/>
      <c r="AM3164" s="52"/>
      <c r="AN3164" s="52"/>
    </row>
    <row r="3165" spans="16:40" x14ac:dyDescent="0.2">
      <c r="P3165" s="52"/>
      <c r="Q3165" s="52"/>
      <c r="R3165" s="52"/>
      <c r="S3165" s="52"/>
      <c r="T3165" s="52"/>
      <c r="U3165" s="52"/>
      <c r="V3165" s="52"/>
      <c r="W3165" s="52"/>
      <c r="X3165" s="52"/>
      <c r="Y3165" s="52"/>
      <c r="Z3165" s="52"/>
      <c r="AA3165" s="52"/>
      <c r="AB3165" s="52"/>
      <c r="AC3165" s="52"/>
      <c r="AD3165" s="52"/>
      <c r="AE3165" s="52"/>
      <c r="AF3165" s="52"/>
      <c r="AG3165" s="52"/>
      <c r="AH3165" s="52"/>
      <c r="AM3165" s="52"/>
      <c r="AN3165" s="52"/>
    </row>
    <row r="3166" spans="16:40" x14ac:dyDescent="0.2">
      <c r="P3166" s="52"/>
      <c r="Q3166" s="52"/>
      <c r="R3166" s="52"/>
      <c r="S3166" s="52"/>
      <c r="T3166" s="52"/>
      <c r="U3166" s="52"/>
      <c r="V3166" s="52"/>
      <c r="W3166" s="52"/>
      <c r="X3166" s="52"/>
      <c r="Y3166" s="52"/>
      <c r="Z3166" s="52"/>
      <c r="AA3166" s="52"/>
      <c r="AB3166" s="52"/>
      <c r="AC3166" s="52"/>
      <c r="AD3166" s="52"/>
      <c r="AE3166" s="52"/>
      <c r="AF3166" s="52"/>
      <c r="AG3166" s="52"/>
      <c r="AH3166" s="52"/>
      <c r="AM3166" s="52"/>
      <c r="AN3166" s="52"/>
    </row>
    <row r="3167" spans="16:40" x14ac:dyDescent="0.2">
      <c r="P3167" s="52"/>
      <c r="Q3167" s="52"/>
      <c r="R3167" s="52"/>
      <c r="S3167" s="52"/>
      <c r="T3167" s="52"/>
      <c r="U3167" s="52"/>
      <c r="V3167" s="52"/>
      <c r="W3167" s="52"/>
      <c r="X3167" s="52"/>
      <c r="Y3167" s="52"/>
      <c r="Z3167" s="52"/>
      <c r="AA3167" s="52"/>
      <c r="AB3167" s="52"/>
      <c r="AC3167" s="52"/>
      <c r="AD3167" s="52"/>
      <c r="AE3167" s="52"/>
      <c r="AF3167" s="52"/>
      <c r="AG3167" s="52"/>
      <c r="AH3167" s="52"/>
      <c r="AM3167" s="52"/>
      <c r="AN3167" s="52"/>
    </row>
    <row r="3168" spans="16:40" x14ac:dyDescent="0.2">
      <c r="P3168" s="52"/>
      <c r="Q3168" s="52"/>
      <c r="R3168" s="52"/>
      <c r="S3168" s="52"/>
      <c r="T3168" s="52"/>
      <c r="U3168" s="52"/>
      <c r="V3168" s="52"/>
      <c r="W3168" s="52"/>
      <c r="X3168" s="52"/>
      <c r="Y3168" s="52"/>
      <c r="Z3168" s="52"/>
      <c r="AA3168" s="52"/>
      <c r="AB3168" s="52"/>
      <c r="AC3168" s="52"/>
      <c r="AD3168" s="52"/>
      <c r="AE3168" s="52"/>
      <c r="AF3168" s="52"/>
      <c r="AG3168" s="52"/>
      <c r="AH3168" s="52"/>
      <c r="AM3168" s="52"/>
      <c r="AN3168" s="52"/>
    </row>
    <row r="3169" spans="16:40" x14ac:dyDescent="0.2">
      <c r="P3169" s="52"/>
      <c r="Q3169" s="52"/>
      <c r="R3169" s="52"/>
      <c r="S3169" s="52"/>
      <c r="T3169" s="52"/>
      <c r="U3169" s="52"/>
      <c r="V3169" s="52"/>
      <c r="W3169" s="52"/>
      <c r="X3169" s="52"/>
      <c r="Y3169" s="52"/>
      <c r="Z3169" s="52"/>
      <c r="AA3169" s="52"/>
      <c r="AB3169" s="52"/>
      <c r="AC3169" s="52"/>
      <c r="AD3169" s="52"/>
      <c r="AE3169" s="52"/>
      <c r="AF3169" s="52"/>
      <c r="AG3169" s="52"/>
      <c r="AH3169" s="52"/>
      <c r="AM3169" s="52"/>
      <c r="AN3169" s="52"/>
    </row>
    <row r="3170" spans="16:40" x14ac:dyDescent="0.2">
      <c r="P3170" s="52"/>
      <c r="Q3170" s="52"/>
      <c r="R3170" s="52"/>
      <c r="S3170" s="52"/>
      <c r="T3170" s="52"/>
      <c r="U3170" s="52"/>
      <c r="V3170" s="52"/>
      <c r="W3170" s="52"/>
      <c r="X3170" s="52"/>
      <c r="Y3170" s="52"/>
      <c r="Z3170" s="52"/>
      <c r="AA3170" s="52"/>
      <c r="AB3170" s="52"/>
      <c r="AC3170" s="52"/>
      <c r="AD3170" s="52"/>
      <c r="AE3170" s="52"/>
      <c r="AF3170" s="52"/>
      <c r="AG3170" s="52"/>
      <c r="AH3170" s="52"/>
      <c r="AM3170" s="52"/>
      <c r="AN3170" s="52"/>
    </row>
    <row r="3171" spans="16:40" x14ac:dyDescent="0.2">
      <c r="P3171" s="52"/>
      <c r="Q3171" s="52"/>
      <c r="R3171" s="52"/>
      <c r="S3171" s="52"/>
      <c r="T3171" s="52"/>
      <c r="U3171" s="52"/>
      <c r="V3171" s="52"/>
      <c r="W3171" s="52"/>
      <c r="X3171" s="52"/>
      <c r="Y3171" s="52"/>
      <c r="Z3171" s="52"/>
      <c r="AA3171" s="52"/>
      <c r="AB3171" s="52"/>
      <c r="AC3171" s="52"/>
      <c r="AD3171" s="52"/>
      <c r="AE3171" s="52"/>
      <c r="AF3171" s="52"/>
      <c r="AG3171" s="52"/>
      <c r="AH3171" s="52"/>
      <c r="AM3171" s="52"/>
      <c r="AN3171" s="52"/>
    </row>
    <row r="3172" spans="16:40" x14ac:dyDescent="0.2">
      <c r="P3172" s="52"/>
      <c r="Q3172" s="52"/>
      <c r="R3172" s="52"/>
      <c r="S3172" s="52"/>
      <c r="T3172" s="52"/>
      <c r="U3172" s="52"/>
      <c r="V3172" s="52"/>
      <c r="W3172" s="52"/>
      <c r="X3172" s="52"/>
      <c r="Y3172" s="52"/>
      <c r="Z3172" s="52"/>
      <c r="AA3172" s="52"/>
      <c r="AB3172" s="52"/>
      <c r="AC3172" s="52"/>
      <c r="AD3172" s="52"/>
      <c r="AE3172" s="52"/>
      <c r="AF3172" s="52"/>
      <c r="AG3172" s="52"/>
      <c r="AH3172" s="52"/>
      <c r="AM3172" s="52"/>
      <c r="AN3172" s="52"/>
    </row>
    <row r="3173" spans="16:40" x14ac:dyDescent="0.2">
      <c r="P3173" s="52"/>
      <c r="Q3173" s="52"/>
      <c r="R3173" s="52"/>
      <c r="S3173" s="52"/>
      <c r="T3173" s="52"/>
      <c r="U3173" s="52"/>
      <c r="V3173" s="52"/>
      <c r="W3173" s="52"/>
      <c r="X3173" s="52"/>
      <c r="Y3173" s="52"/>
      <c r="Z3173" s="52"/>
      <c r="AA3173" s="52"/>
      <c r="AB3173" s="52"/>
      <c r="AC3173" s="52"/>
      <c r="AD3173" s="52"/>
      <c r="AE3173" s="52"/>
      <c r="AF3173" s="52"/>
      <c r="AG3173" s="52"/>
      <c r="AH3173" s="52"/>
      <c r="AM3173" s="52"/>
      <c r="AN3173" s="52"/>
    </row>
    <row r="3174" spans="16:40" x14ac:dyDescent="0.2">
      <c r="P3174" s="52"/>
      <c r="Q3174" s="52"/>
      <c r="R3174" s="52"/>
      <c r="S3174" s="52"/>
      <c r="T3174" s="52"/>
      <c r="U3174" s="52"/>
      <c r="V3174" s="52"/>
      <c r="W3174" s="52"/>
      <c r="X3174" s="52"/>
      <c r="Y3174" s="52"/>
      <c r="Z3174" s="52"/>
      <c r="AA3174" s="52"/>
      <c r="AB3174" s="52"/>
      <c r="AC3174" s="52"/>
      <c r="AD3174" s="52"/>
      <c r="AE3174" s="52"/>
      <c r="AF3174" s="52"/>
      <c r="AG3174" s="52"/>
      <c r="AH3174" s="52"/>
      <c r="AM3174" s="52"/>
      <c r="AN3174" s="52"/>
    </row>
    <row r="3175" spans="16:40" x14ac:dyDescent="0.2">
      <c r="P3175" s="52"/>
      <c r="Q3175" s="52"/>
      <c r="R3175" s="52"/>
      <c r="S3175" s="52"/>
      <c r="T3175" s="52"/>
      <c r="U3175" s="52"/>
      <c r="V3175" s="52"/>
      <c r="W3175" s="52"/>
      <c r="X3175" s="52"/>
      <c r="Y3175" s="52"/>
      <c r="Z3175" s="52"/>
      <c r="AA3175" s="52"/>
      <c r="AB3175" s="52"/>
      <c r="AC3175" s="52"/>
      <c r="AD3175" s="52"/>
      <c r="AE3175" s="52"/>
      <c r="AF3175" s="52"/>
      <c r="AG3175" s="52"/>
      <c r="AH3175" s="52"/>
      <c r="AM3175" s="52"/>
      <c r="AN3175" s="52"/>
    </row>
    <row r="3176" spans="16:40" x14ac:dyDescent="0.2"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2"/>
      <c r="AA3176" s="52"/>
      <c r="AB3176" s="52"/>
      <c r="AC3176" s="52"/>
      <c r="AD3176" s="52"/>
      <c r="AE3176" s="52"/>
      <c r="AF3176" s="52"/>
      <c r="AG3176" s="52"/>
      <c r="AH3176" s="52"/>
      <c r="AM3176" s="52"/>
      <c r="AN3176" s="52"/>
    </row>
    <row r="3177" spans="16:40" x14ac:dyDescent="0.2">
      <c r="P3177" s="52"/>
      <c r="Q3177" s="52"/>
      <c r="R3177" s="52"/>
      <c r="S3177" s="52"/>
      <c r="T3177" s="52"/>
      <c r="U3177" s="52"/>
      <c r="V3177" s="52"/>
      <c r="W3177" s="52"/>
      <c r="X3177" s="52"/>
      <c r="Y3177" s="52"/>
      <c r="Z3177" s="52"/>
      <c r="AA3177" s="52"/>
      <c r="AB3177" s="52"/>
      <c r="AC3177" s="52"/>
      <c r="AD3177" s="52"/>
      <c r="AE3177" s="52"/>
      <c r="AF3177" s="52"/>
      <c r="AG3177" s="52"/>
      <c r="AH3177" s="52"/>
      <c r="AM3177" s="52"/>
      <c r="AN3177" s="52"/>
    </row>
    <row r="3178" spans="16:40" x14ac:dyDescent="0.2">
      <c r="P3178" s="52"/>
      <c r="Q3178" s="52"/>
      <c r="R3178" s="52"/>
      <c r="S3178" s="52"/>
      <c r="T3178" s="52"/>
      <c r="U3178" s="52"/>
      <c r="V3178" s="52"/>
      <c r="W3178" s="52"/>
      <c r="X3178" s="52"/>
      <c r="Y3178" s="52"/>
      <c r="Z3178" s="52"/>
      <c r="AA3178" s="52"/>
      <c r="AB3178" s="52"/>
      <c r="AC3178" s="52"/>
      <c r="AD3178" s="52"/>
      <c r="AE3178" s="52"/>
      <c r="AF3178" s="52"/>
      <c r="AG3178" s="52"/>
      <c r="AH3178" s="52"/>
      <c r="AM3178" s="52"/>
      <c r="AN3178" s="52"/>
    </row>
    <row r="3179" spans="16:40" x14ac:dyDescent="0.2">
      <c r="P3179" s="52"/>
      <c r="Q3179" s="52"/>
      <c r="R3179" s="52"/>
      <c r="S3179" s="52"/>
      <c r="T3179" s="52"/>
      <c r="U3179" s="52"/>
      <c r="V3179" s="52"/>
      <c r="W3179" s="52"/>
      <c r="X3179" s="52"/>
      <c r="Y3179" s="52"/>
      <c r="Z3179" s="52"/>
      <c r="AA3179" s="52"/>
      <c r="AB3179" s="52"/>
      <c r="AC3179" s="52"/>
      <c r="AD3179" s="52"/>
      <c r="AE3179" s="52"/>
      <c r="AF3179" s="52"/>
      <c r="AG3179" s="52"/>
      <c r="AH3179" s="52"/>
      <c r="AM3179" s="52"/>
      <c r="AN3179" s="52"/>
    </row>
    <row r="3180" spans="16:40" x14ac:dyDescent="0.2">
      <c r="P3180" s="52"/>
      <c r="Q3180" s="52"/>
      <c r="R3180" s="52"/>
      <c r="S3180" s="52"/>
      <c r="T3180" s="52"/>
      <c r="U3180" s="52"/>
      <c r="V3180" s="52"/>
      <c r="W3180" s="52"/>
      <c r="X3180" s="52"/>
      <c r="Y3180" s="52"/>
      <c r="Z3180" s="52"/>
      <c r="AA3180" s="52"/>
      <c r="AB3180" s="52"/>
      <c r="AC3180" s="52"/>
      <c r="AD3180" s="52"/>
      <c r="AE3180" s="52"/>
      <c r="AF3180" s="52"/>
      <c r="AG3180" s="52"/>
      <c r="AH3180" s="52"/>
      <c r="AM3180" s="52"/>
      <c r="AN3180" s="52"/>
    </row>
    <row r="3181" spans="16:40" x14ac:dyDescent="0.2">
      <c r="P3181" s="52"/>
      <c r="Q3181" s="52"/>
      <c r="R3181" s="52"/>
      <c r="S3181" s="52"/>
      <c r="T3181" s="52"/>
      <c r="U3181" s="52"/>
      <c r="V3181" s="52"/>
      <c r="W3181" s="52"/>
      <c r="X3181" s="52"/>
      <c r="Y3181" s="52"/>
      <c r="Z3181" s="52"/>
      <c r="AA3181" s="52"/>
      <c r="AB3181" s="52"/>
      <c r="AC3181" s="52"/>
      <c r="AD3181" s="52"/>
      <c r="AE3181" s="52"/>
      <c r="AF3181" s="52"/>
      <c r="AG3181" s="52"/>
      <c r="AH3181" s="52"/>
      <c r="AM3181" s="52"/>
      <c r="AN3181" s="52"/>
    </row>
    <row r="3182" spans="16:40" x14ac:dyDescent="0.2">
      <c r="P3182" s="52"/>
      <c r="Q3182" s="52"/>
      <c r="R3182" s="52"/>
      <c r="S3182" s="52"/>
      <c r="T3182" s="52"/>
      <c r="U3182" s="52"/>
      <c r="V3182" s="52"/>
      <c r="W3182" s="52"/>
      <c r="X3182" s="52"/>
      <c r="Y3182" s="52"/>
      <c r="Z3182" s="52"/>
      <c r="AA3182" s="52"/>
      <c r="AB3182" s="52"/>
      <c r="AC3182" s="52"/>
      <c r="AD3182" s="52"/>
      <c r="AE3182" s="52"/>
      <c r="AF3182" s="52"/>
      <c r="AG3182" s="52"/>
      <c r="AH3182" s="52"/>
      <c r="AM3182" s="52"/>
      <c r="AN3182" s="52"/>
    </row>
    <row r="3183" spans="16:40" x14ac:dyDescent="0.2">
      <c r="P3183" s="52"/>
      <c r="Q3183" s="52"/>
      <c r="R3183" s="52"/>
      <c r="S3183" s="52"/>
      <c r="T3183" s="52"/>
      <c r="U3183" s="52"/>
      <c r="V3183" s="52"/>
      <c r="W3183" s="52"/>
      <c r="X3183" s="52"/>
      <c r="Y3183" s="52"/>
      <c r="Z3183" s="52"/>
      <c r="AA3183" s="52"/>
      <c r="AB3183" s="52"/>
      <c r="AC3183" s="52"/>
      <c r="AD3183" s="52"/>
      <c r="AE3183" s="52"/>
      <c r="AF3183" s="52"/>
      <c r="AG3183" s="52"/>
      <c r="AH3183" s="52"/>
      <c r="AM3183" s="52"/>
      <c r="AN3183" s="52"/>
    </row>
    <row r="3184" spans="16:40" x14ac:dyDescent="0.2">
      <c r="P3184" s="52"/>
      <c r="Q3184" s="52"/>
      <c r="R3184" s="52"/>
      <c r="S3184" s="52"/>
      <c r="T3184" s="52"/>
      <c r="U3184" s="52"/>
      <c r="V3184" s="52"/>
      <c r="W3184" s="52"/>
      <c r="X3184" s="52"/>
      <c r="Y3184" s="52"/>
      <c r="Z3184" s="52"/>
      <c r="AA3184" s="52"/>
      <c r="AB3184" s="52"/>
      <c r="AC3184" s="52"/>
      <c r="AD3184" s="52"/>
      <c r="AE3184" s="52"/>
      <c r="AF3184" s="52"/>
      <c r="AG3184" s="52"/>
      <c r="AH3184" s="52"/>
      <c r="AM3184" s="52"/>
      <c r="AN3184" s="52"/>
    </row>
    <row r="3185" spans="16:40" x14ac:dyDescent="0.2">
      <c r="P3185" s="52"/>
      <c r="Q3185" s="52"/>
      <c r="R3185" s="52"/>
      <c r="S3185" s="52"/>
      <c r="T3185" s="52"/>
      <c r="U3185" s="52"/>
      <c r="V3185" s="52"/>
      <c r="W3185" s="52"/>
      <c r="X3185" s="52"/>
      <c r="Y3185" s="52"/>
      <c r="Z3185" s="52"/>
      <c r="AA3185" s="52"/>
      <c r="AB3185" s="52"/>
      <c r="AC3185" s="52"/>
      <c r="AD3185" s="52"/>
      <c r="AE3185" s="52"/>
      <c r="AF3185" s="52"/>
      <c r="AG3185" s="52"/>
      <c r="AH3185" s="52"/>
      <c r="AM3185" s="52"/>
      <c r="AN3185" s="52"/>
    </row>
    <row r="3186" spans="16:40" x14ac:dyDescent="0.2">
      <c r="P3186" s="52"/>
      <c r="Q3186" s="52"/>
      <c r="R3186" s="52"/>
      <c r="S3186" s="52"/>
      <c r="T3186" s="52"/>
      <c r="U3186" s="52"/>
      <c r="V3186" s="52"/>
      <c r="W3186" s="52"/>
      <c r="X3186" s="52"/>
      <c r="Y3186" s="52"/>
      <c r="Z3186" s="52"/>
      <c r="AA3186" s="52"/>
      <c r="AB3186" s="52"/>
      <c r="AC3186" s="52"/>
      <c r="AD3186" s="52"/>
      <c r="AE3186" s="52"/>
      <c r="AF3186" s="52"/>
      <c r="AG3186" s="52"/>
      <c r="AH3186" s="52"/>
      <c r="AM3186" s="52"/>
      <c r="AN3186" s="52"/>
    </row>
    <row r="3187" spans="16:40" x14ac:dyDescent="0.2">
      <c r="P3187" s="52"/>
      <c r="Q3187" s="52"/>
      <c r="R3187" s="52"/>
      <c r="S3187" s="52"/>
      <c r="T3187" s="52"/>
      <c r="U3187" s="52"/>
      <c r="V3187" s="52"/>
      <c r="W3187" s="52"/>
      <c r="X3187" s="52"/>
      <c r="Y3187" s="52"/>
      <c r="Z3187" s="52"/>
      <c r="AA3187" s="52"/>
      <c r="AB3187" s="52"/>
      <c r="AC3187" s="52"/>
      <c r="AD3187" s="52"/>
      <c r="AE3187" s="52"/>
      <c r="AF3187" s="52"/>
      <c r="AG3187" s="52"/>
      <c r="AH3187" s="52"/>
      <c r="AM3187" s="52"/>
      <c r="AN3187" s="52"/>
    </row>
    <row r="3188" spans="16:40" x14ac:dyDescent="0.2">
      <c r="P3188" s="52"/>
      <c r="Q3188" s="52"/>
      <c r="R3188" s="52"/>
      <c r="S3188" s="52"/>
      <c r="T3188" s="52"/>
      <c r="U3188" s="52"/>
      <c r="V3188" s="52"/>
      <c r="W3188" s="52"/>
      <c r="X3188" s="52"/>
      <c r="Y3188" s="52"/>
      <c r="Z3188" s="52"/>
      <c r="AA3188" s="52"/>
      <c r="AB3188" s="52"/>
      <c r="AC3188" s="52"/>
      <c r="AD3188" s="52"/>
      <c r="AE3188" s="52"/>
      <c r="AF3188" s="52"/>
      <c r="AG3188" s="52"/>
      <c r="AH3188" s="52"/>
      <c r="AM3188" s="52"/>
      <c r="AN3188" s="52"/>
    </row>
    <row r="3189" spans="16:40" x14ac:dyDescent="0.2">
      <c r="P3189" s="52"/>
      <c r="Q3189" s="52"/>
      <c r="R3189" s="52"/>
      <c r="S3189" s="52"/>
      <c r="T3189" s="52"/>
      <c r="U3189" s="52"/>
      <c r="V3189" s="52"/>
      <c r="W3189" s="52"/>
      <c r="X3189" s="52"/>
      <c r="Y3189" s="52"/>
      <c r="Z3189" s="52"/>
      <c r="AA3189" s="52"/>
      <c r="AB3189" s="52"/>
      <c r="AC3189" s="52"/>
      <c r="AD3189" s="52"/>
      <c r="AE3189" s="52"/>
      <c r="AF3189" s="52"/>
      <c r="AG3189" s="52"/>
      <c r="AH3189" s="52"/>
      <c r="AM3189" s="52"/>
      <c r="AN3189" s="52"/>
    </row>
    <row r="3190" spans="16:40" x14ac:dyDescent="0.2">
      <c r="P3190" s="52"/>
      <c r="Q3190" s="52"/>
      <c r="R3190" s="52"/>
      <c r="S3190" s="52"/>
      <c r="T3190" s="52"/>
      <c r="U3190" s="52"/>
      <c r="V3190" s="52"/>
      <c r="W3190" s="52"/>
      <c r="X3190" s="52"/>
      <c r="Y3190" s="52"/>
      <c r="Z3190" s="52"/>
      <c r="AA3190" s="52"/>
      <c r="AB3190" s="52"/>
      <c r="AC3190" s="52"/>
      <c r="AD3190" s="52"/>
      <c r="AE3190" s="52"/>
      <c r="AF3190" s="52"/>
      <c r="AG3190" s="52"/>
      <c r="AH3190" s="52"/>
      <c r="AM3190" s="52"/>
      <c r="AN3190" s="52"/>
    </row>
    <row r="3191" spans="16:40" x14ac:dyDescent="0.2">
      <c r="P3191" s="52"/>
      <c r="Q3191" s="52"/>
      <c r="R3191" s="52"/>
      <c r="S3191" s="52"/>
      <c r="T3191" s="52"/>
      <c r="U3191" s="52"/>
      <c r="V3191" s="52"/>
      <c r="W3191" s="52"/>
      <c r="X3191" s="52"/>
      <c r="Y3191" s="52"/>
      <c r="Z3191" s="52"/>
      <c r="AA3191" s="52"/>
      <c r="AB3191" s="52"/>
      <c r="AC3191" s="52"/>
      <c r="AD3191" s="52"/>
      <c r="AE3191" s="52"/>
      <c r="AF3191" s="52"/>
      <c r="AG3191" s="52"/>
      <c r="AH3191" s="52"/>
      <c r="AM3191" s="52"/>
      <c r="AN3191" s="52"/>
    </row>
    <row r="3192" spans="16:40" x14ac:dyDescent="0.2">
      <c r="P3192" s="52"/>
      <c r="Q3192" s="52"/>
      <c r="R3192" s="52"/>
      <c r="S3192" s="52"/>
      <c r="T3192" s="52"/>
      <c r="U3192" s="52"/>
      <c r="V3192" s="52"/>
      <c r="W3192" s="52"/>
      <c r="X3192" s="52"/>
      <c r="Y3192" s="52"/>
      <c r="Z3192" s="52"/>
      <c r="AA3192" s="52"/>
      <c r="AB3192" s="52"/>
      <c r="AC3192" s="52"/>
      <c r="AD3192" s="52"/>
      <c r="AE3192" s="52"/>
      <c r="AF3192" s="52"/>
      <c r="AG3192" s="52"/>
      <c r="AH3192" s="52"/>
      <c r="AM3192" s="52"/>
      <c r="AN3192" s="52"/>
    </row>
    <row r="3193" spans="16:40" x14ac:dyDescent="0.2">
      <c r="P3193" s="52"/>
      <c r="Q3193" s="52"/>
      <c r="R3193" s="52"/>
      <c r="S3193" s="52"/>
      <c r="T3193" s="52"/>
      <c r="U3193" s="52"/>
      <c r="V3193" s="52"/>
      <c r="W3193" s="52"/>
      <c r="X3193" s="52"/>
      <c r="Y3193" s="52"/>
      <c r="Z3193" s="52"/>
      <c r="AA3193" s="52"/>
      <c r="AB3193" s="52"/>
      <c r="AC3193" s="52"/>
      <c r="AD3193" s="52"/>
      <c r="AE3193" s="52"/>
      <c r="AF3193" s="52"/>
      <c r="AG3193" s="52"/>
      <c r="AH3193" s="52"/>
      <c r="AM3193" s="52"/>
      <c r="AN3193" s="52"/>
    </row>
    <row r="3194" spans="16:40" x14ac:dyDescent="0.2">
      <c r="P3194" s="52"/>
      <c r="Q3194" s="52"/>
      <c r="R3194" s="52"/>
      <c r="S3194" s="52"/>
      <c r="T3194" s="52"/>
      <c r="U3194" s="52"/>
      <c r="V3194" s="52"/>
      <c r="W3194" s="52"/>
      <c r="X3194" s="52"/>
      <c r="Y3194" s="52"/>
      <c r="Z3194" s="52"/>
      <c r="AA3194" s="52"/>
      <c r="AB3194" s="52"/>
      <c r="AC3194" s="52"/>
      <c r="AD3194" s="52"/>
      <c r="AE3194" s="52"/>
      <c r="AF3194" s="52"/>
      <c r="AG3194" s="52"/>
      <c r="AH3194" s="52"/>
      <c r="AM3194" s="52"/>
      <c r="AN3194" s="52"/>
    </row>
    <row r="3195" spans="16:40" x14ac:dyDescent="0.2">
      <c r="P3195" s="52"/>
      <c r="Q3195" s="52"/>
      <c r="R3195" s="52"/>
      <c r="S3195" s="52"/>
      <c r="T3195" s="52"/>
      <c r="U3195" s="52"/>
      <c r="V3195" s="52"/>
      <c r="W3195" s="52"/>
      <c r="X3195" s="52"/>
      <c r="Y3195" s="52"/>
      <c r="Z3195" s="52"/>
      <c r="AA3195" s="52"/>
      <c r="AB3195" s="52"/>
      <c r="AC3195" s="52"/>
      <c r="AD3195" s="52"/>
      <c r="AE3195" s="52"/>
      <c r="AF3195" s="52"/>
      <c r="AG3195" s="52"/>
      <c r="AH3195" s="52"/>
      <c r="AM3195" s="52"/>
      <c r="AN3195" s="52"/>
    </row>
    <row r="3196" spans="16:40" x14ac:dyDescent="0.2">
      <c r="P3196" s="52"/>
      <c r="Q3196" s="52"/>
      <c r="R3196" s="52"/>
      <c r="S3196" s="52"/>
      <c r="T3196" s="52"/>
      <c r="U3196" s="52"/>
      <c r="V3196" s="52"/>
      <c r="W3196" s="52"/>
      <c r="X3196" s="52"/>
      <c r="Y3196" s="52"/>
      <c r="Z3196" s="52"/>
      <c r="AA3196" s="52"/>
      <c r="AB3196" s="52"/>
      <c r="AC3196" s="52"/>
      <c r="AD3196" s="52"/>
      <c r="AE3196" s="52"/>
      <c r="AF3196" s="52"/>
      <c r="AG3196" s="52"/>
      <c r="AH3196" s="52"/>
      <c r="AM3196" s="52"/>
      <c r="AN3196" s="52"/>
    </row>
    <row r="3197" spans="16:40" x14ac:dyDescent="0.2">
      <c r="P3197" s="52"/>
      <c r="Q3197" s="52"/>
      <c r="R3197" s="52"/>
      <c r="S3197" s="52"/>
      <c r="T3197" s="52"/>
      <c r="U3197" s="52"/>
      <c r="V3197" s="52"/>
      <c r="W3197" s="52"/>
      <c r="X3197" s="52"/>
      <c r="Y3197" s="52"/>
      <c r="Z3197" s="52"/>
      <c r="AA3197" s="52"/>
      <c r="AB3197" s="52"/>
      <c r="AC3197" s="52"/>
      <c r="AD3197" s="52"/>
      <c r="AE3197" s="52"/>
      <c r="AF3197" s="52"/>
      <c r="AG3197" s="52"/>
      <c r="AH3197" s="52"/>
      <c r="AM3197" s="52"/>
      <c r="AN3197" s="52"/>
    </row>
    <row r="3198" spans="16:40" x14ac:dyDescent="0.2">
      <c r="P3198" s="52"/>
      <c r="Q3198" s="52"/>
      <c r="R3198" s="52"/>
      <c r="S3198" s="52"/>
      <c r="T3198" s="52"/>
      <c r="U3198" s="52"/>
      <c r="V3198" s="52"/>
      <c r="W3198" s="52"/>
      <c r="X3198" s="52"/>
      <c r="Y3198" s="52"/>
      <c r="Z3198" s="52"/>
      <c r="AA3198" s="52"/>
      <c r="AB3198" s="52"/>
      <c r="AC3198" s="52"/>
      <c r="AD3198" s="52"/>
      <c r="AE3198" s="52"/>
      <c r="AF3198" s="52"/>
      <c r="AG3198" s="52"/>
      <c r="AH3198" s="52"/>
      <c r="AM3198" s="52"/>
      <c r="AN3198" s="52"/>
    </row>
    <row r="3199" spans="16:40" x14ac:dyDescent="0.2">
      <c r="P3199" s="52"/>
      <c r="Q3199" s="52"/>
      <c r="R3199" s="52"/>
      <c r="S3199" s="52"/>
      <c r="T3199" s="52"/>
      <c r="U3199" s="52"/>
      <c r="V3199" s="52"/>
      <c r="W3199" s="52"/>
      <c r="X3199" s="52"/>
      <c r="Y3199" s="52"/>
      <c r="Z3199" s="52"/>
      <c r="AA3199" s="52"/>
      <c r="AB3199" s="52"/>
      <c r="AC3199" s="52"/>
      <c r="AD3199" s="52"/>
      <c r="AE3199" s="52"/>
      <c r="AF3199" s="52"/>
      <c r="AG3199" s="52"/>
      <c r="AH3199" s="52"/>
      <c r="AM3199" s="52"/>
      <c r="AN3199" s="52"/>
    </row>
    <row r="3200" spans="16:40" x14ac:dyDescent="0.2">
      <c r="P3200" s="52"/>
      <c r="Q3200" s="52"/>
      <c r="R3200" s="52"/>
      <c r="S3200" s="52"/>
      <c r="T3200" s="52"/>
      <c r="U3200" s="52"/>
      <c r="V3200" s="52"/>
      <c r="W3200" s="52"/>
      <c r="X3200" s="52"/>
      <c r="Y3200" s="52"/>
      <c r="Z3200" s="52"/>
      <c r="AA3200" s="52"/>
      <c r="AB3200" s="52"/>
      <c r="AC3200" s="52"/>
      <c r="AD3200" s="52"/>
      <c r="AE3200" s="52"/>
      <c r="AF3200" s="52"/>
      <c r="AG3200" s="52"/>
      <c r="AH3200" s="52"/>
      <c r="AM3200" s="52"/>
      <c r="AN3200" s="52"/>
    </row>
    <row r="3201" spans="16:40" x14ac:dyDescent="0.2">
      <c r="P3201" s="52"/>
      <c r="Q3201" s="52"/>
      <c r="R3201" s="52"/>
      <c r="S3201" s="52"/>
      <c r="T3201" s="52"/>
      <c r="U3201" s="52"/>
      <c r="V3201" s="52"/>
      <c r="W3201" s="52"/>
      <c r="X3201" s="52"/>
      <c r="Y3201" s="52"/>
      <c r="Z3201" s="52"/>
      <c r="AA3201" s="52"/>
      <c r="AB3201" s="52"/>
      <c r="AC3201" s="52"/>
      <c r="AD3201" s="52"/>
      <c r="AE3201" s="52"/>
      <c r="AF3201" s="52"/>
      <c r="AG3201" s="52"/>
      <c r="AH3201" s="52"/>
      <c r="AM3201" s="52"/>
      <c r="AN3201" s="52"/>
    </row>
    <row r="3202" spans="16:40" x14ac:dyDescent="0.2">
      <c r="P3202" s="52"/>
      <c r="Q3202" s="52"/>
      <c r="R3202" s="52"/>
      <c r="S3202" s="52"/>
      <c r="T3202" s="52"/>
      <c r="U3202" s="52"/>
      <c r="V3202" s="52"/>
      <c r="W3202" s="52"/>
      <c r="X3202" s="52"/>
      <c r="Y3202" s="52"/>
      <c r="Z3202" s="52"/>
      <c r="AA3202" s="52"/>
      <c r="AB3202" s="52"/>
      <c r="AC3202" s="52"/>
      <c r="AD3202" s="52"/>
      <c r="AE3202" s="52"/>
      <c r="AF3202" s="52"/>
      <c r="AG3202" s="52"/>
      <c r="AH3202" s="52"/>
      <c r="AM3202" s="52"/>
      <c r="AN3202" s="52"/>
    </row>
    <row r="3203" spans="16:40" x14ac:dyDescent="0.2">
      <c r="P3203" s="52"/>
      <c r="Q3203" s="52"/>
      <c r="R3203" s="52"/>
      <c r="S3203" s="52"/>
      <c r="T3203" s="52"/>
      <c r="U3203" s="52"/>
      <c r="V3203" s="52"/>
      <c r="W3203" s="52"/>
      <c r="X3203" s="52"/>
      <c r="Y3203" s="52"/>
      <c r="Z3203" s="52"/>
      <c r="AA3203" s="52"/>
      <c r="AB3203" s="52"/>
      <c r="AC3203" s="52"/>
      <c r="AD3203" s="52"/>
      <c r="AE3203" s="52"/>
      <c r="AF3203" s="52"/>
      <c r="AG3203" s="52"/>
      <c r="AH3203" s="52"/>
      <c r="AM3203" s="52"/>
      <c r="AN3203" s="52"/>
    </row>
    <row r="3204" spans="16:40" x14ac:dyDescent="0.2">
      <c r="P3204" s="52"/>
      <c r="Q3204" s="52"/>
      <c r="R3204" s="52"/>
      <c r="S3204" s="52"/>
      <c r="T3204" s="52"/>
      <c r="U3204" s="52"/>
      <c r="V3204" s="52"/>
      <c r="W3204" s="52"/>
      <c r="X3204" s="52"/>
      <c r="Y3204" s="52"/>
      <c r="Z3204" s="52"/>
      <c r="AA3204" s="52"/>
      <c r="AB3204" s="52"/>
      <c r="AC3204" s="52"/>
      <c r="AD3204" s="52"/>
      <c r="AE3204" s="52"/>
      <c r="AF3204" s="52"/>
      <c r="AG3204" s="52"/>
      <c r="AH3204" s="52"/>
      <c r="AM3204" s="52"/>
      <c r="AN3204" s="52"/>
    </row>
    <row r="3205" spans="16:40" x14ac:dyDescent="0.2">
      <c r="P3205" s="52"/>
      <c r="Q3205" s="52"/>
      <c r="R3205" s="52"/>
      <c r="S3205" s="52"/>
      <c r="T3205" s="52"/>
      <c r="U3205" s="52"/>
      <c r="V3205" s="52"/>
      <c r="W3205" s="52"/>
      <c r="X3205" s="52"/>
      <c r="Y3205" s="52"/>
      <c r="Z3205" s="52"/>
      <c r="AA3205" s="52"/>
      <c r="AB3205" s="52"/>
      <c r="AC3205" s="52"/>
      <c r="AD3205" s="52"/>
      <c r="AE3205" s="52"/>
      <c r="AF3205" s="52"/>
      <c r="AG3205" s="52"/>
      <c r="AH3205" s="52"/>
      <c r="AM3205" s="52"/>
      <c r="AN3205" s="52"/>
    </row>
    <row r="3206" spans="16:40" x14ac:dyDescent="0.2">
      <c r="P3206" s="52"/>
      <c r="Q3206" s="52"/>
      <c r="R3206" s="52"/>
      <c r="S3206" s="52"/>
      <c r="T3206" s="52"/>
      <c r="U3206" s="52"/>
      <c r="V3206" s="52"/>
      <c r="W3206" s="52"/>
      <c r="X3206" s="52"/>
      <c r="Y3206" s="52"/>
      <c r="Z3206" s="52"/>
      <c r="AA3206" s="52"/>
      <c r="AB3206" s="52"/>
      <c r="AC3206" s="52"/>
      <c r="AD3206" s="52"/>
      <c r="AE3206" s="52"/>
      <c r="AF3206" s="52"/>
      <c r="AG3206" s="52"/>
      <c r="AH3206" s="52"/>
      <c r="AI3206" s="50"/>
      <c r="AL3206" s="50"/>
      <c r="AM3206" s="52"/>
      <c r="AN3206" s="52"/>
    </row>
    <row r="3207" spans="16:40" x14ac:dyDescent="0.2">
      <c r="P3207" s="52"/>
      <c r="Q3207" s="52"/>
      <c r="R3207" s="52"/>
      <c r="S3207" s="52"/>
      <c r="T3207" s="52"/>
      <c r="U3207" s="52"/>
      <c r="V3207" s="52"/>
      <c r="W3207" s="52"/>
      <c r="X3207" s="52"/>
      <c r="Y3207" s="52"/>
      <c r="Z3207" s="52"/>
      <c r="AA3207" s="52"/>
      <c r="AB3207" s="52"/>
      <c r="AC3207" s="52"/>
      <c r="AD3207" s="52"/>
      <c r="AE3207" s="52"/>
      <c r="AF3207" s="52"/>
      <c r="AG3207" s="52"/>
      <c r="AH3207" s="52"/>
      <c r="AI3207" s="50"/>
      <c r="AL3207" s="50"/>
      <c r="AM3207" s="52"/>
      <c r="AN3207" s="52"/>
    </row>
    <row r="3208" spans="16:40" x14ac:dyDescent="0.2">
      <c r="P3208" s="52"/>
      <c r="Q3208" s="52"/>
      <c r="R3208" s="52"/>
      <c r="S3208" s="52"/>
      <c r="T3208" s="52"/>
      <c r="U3208" s="52"/>
      <c r="V3208" s="52"/>
      <c r="W3208" s="52"/>
      <c r="X3208" s="52"/>
      <c r="Y3208" s="52"/>
      <c r="Z3208" s="52"/>
      <c r="AA3208" s="52"/>
      <c r="AB3208" s="52"/>
      <c r="AC3208" s="52"/>
      <c r="AD3208" s="52"/>
      <c r="AE3208" s="52"/>
      <c r="AF3208" s="52"/>
      <c r="AG3208" s="52"/>
      <c r="AH3208" s="52"/>
      <c r="AI3208" s="50"/>
      <c r="AL3208" s="50"/>
      <c r="AM3208" s="52"/>
      <c r="AN3208" s="52"/>
    </row>
    <row r="3209" spans="16:40" x14ac:dyDescent="0.2">
      <c r="P3209" s="52"/>
      <c r="Q3209" s="52"/>
      <c r="R3209" s="52"/>
      <c r="S3209" s="52"/>
      <c r="T3209" s="52"/>
      <c r="U3209" s="52"/>
      <c r="V3209" s="52"/>
      <c r="W3209" s="52"/>
      <c r="X3209" s="52"/>
      <c r="Y3209" s="52"/>
      <c r="Z3209" s="52"/>
      <c r="AA3209" s="52"/>
      <c r="AB3209" s="52"/>
      <c r="AC3209" s="52"/>
      <c r="AD3209" s="52"/>
      <c r="AE3209" s="52"/>
      <c r="AF3209" s="52"/>
      <c r="AG3209" s="52"/>
      <c r="AH3209" s="52"/>
      <c r="AI3209" s="50"/>
      <c r="AL3209" s="50"/>
      <c r="AM3209" s="52"/>
      <c r="AN3209" s="52"/>
    </row>
    <row r="3210" spans="16:40" x14ac:dyDescent="0.2">
      <c r="P3210" s="52"/>
      <c r="Q3210" s="52"/>
      <c r="R3210" s="52"/>
      <c r="S3210" s="52"/>
      <c r="T3210" s="52"/>
      <c r="U3210" s="52"/>
      <c r="V3210" s="52"/>
      <c r="W3210" s="52"/>
      <c r="X3210" s="52"/>
      <c r="Y3210" s="52"/>
      <c r="Z3210" s="52"/>
      <c r="AA3210" s="52"/>
      <c r="AB3210" s="52"/>
      <c r="AC3210" s="52"/>
      <c r="AD3210" s="52"/>
      <c r="AE3210" s="52"/>
      <c r="AF3210" s="52"/>
      <c r="AG3210" s="52"/>
      <c r="AH3210" s="52"/>
      <c r="AI3210" s="50"/>
      <c r="AL3210" s="50"/>
      <c r="AM3210" s="52"/>
      <c r="AN3210" s="52"/>
    </row>
    <row r="3211" spans="16:40" x14ac:dyDescent="0.2">
      <c r="P3211" s="52"/>
      <c r="Q3211" s="52"/>
      <c r="R3211" s="52"/>
      <c r="S3211" s="52"/>
      <c r="T3211" s="52"/>
      <c r="U3211" s="52"/>
      <c r="V3211" s="52"/>
      <c r="W3211" s="52"/>
      <c r="X3211" s="52"/>
      <c r="Y3211" s="52"/>
      <c r="Z3211" s="52"/>
      <c r="AA3211" s="52"/>
      <c r="AB3211" s="52"/>
      <c r="AC3211" s="52"/>
      <c r="AD3211" s="52"/>
      <c r="AE3211" s="52"/>
      <c r="AF3211" s="52"/>
      <c r="AG3211" s="52"/>
      <c r="AH3211" s="52"/>
      <c r="AI3211" s="50"/>
      <c r="AL3211" s="50"/>
      <c r="AM3211" s="52"/>
      <c r="AN3211" s="52"/>
    </row>
    <row r="3212" spans="16:40" x14ac:dyDescent="0.2">
      <c r="P3212" s="52"/>
      <c r="Q3212" s="52"/>
      <c r="R3212" s="52"/>
      <c r="S3212" s="52"/>
      <c r="T3212" s="52"/>
      <c r="U3212" s="52"/>
      <c r="V3212" s="52"/>
      <c r="W3212" s="52"/>
      <c r="X3212" s="52"/>
      <c r="Y3212" s="52"/>
      <c r="Z3212" s="52"/>
      <c r="AA3212" s="52"/>
      <c r="AB3212" s="52"/>
      <c r="AC3212" s="52"/>
      <c r="AD3212" s="52"/>
      <c r="AE3212" s="52"/>
      <c r="AF3212" s="52"/>
      <c r="AG3212" s="52"/>
      <c r="AH3212" s="52"/>
      <c r="AI3212" s="50"/>
      <c r="AL3212" s="50"/>
      <c r="AM3212" s="52"/>
      <c r="AN3212" s="52"/>
    </row>
    <row r="3213" spans="16:40" x14ac:dyDescent="0.2">
      <c r="P3213" s="52"/>
      <c r="Q3213" s="52"/>
      <c r="R3213" s="52"/>
      <c r="S3213" s="52"/>
      <c r="T3213" s="52"/>
      <c r="U3213" s="52"/>
      <c r="V3213" s="52"/>
      <c r="W3213" s="52"/>
      <c r="X3213" s="52"/>
      <c r="Y3213" s="52"/>
      <c r="Z3213" s="52"/>
      <c r="AA3213" s="52"/>
      <c r="AB3213" s="52"/>
      <c r="AC3213" s="52"/>
      <c r="AD3213" s="52"/>
      <c r="AE3213" s="52"/>
      <c r="AF3213" s="52"/>
      <c r="AG3213" s="52"/>
      <c r="AH3213" s="52"/>
      <c r="AI3213" s="50"/>
      <c r="AL3213" s="50"/>
      <c r="AM3213" s="52"/>
      <c r="AN3213" s="52"/>
    </row>
    <row r="3214" spans="16:40" x14ac:dyDescent="0.2"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2"/>
      <c r="AA3214" s="52"/>
      <c r="AB3214" s="52"/>
      <c r="AC3214" s="52"/>
      <c r="AD3214" s="52"/>
      <c r="AE3214" s="52"/>
      <c r="AF3214" s="52"/>
      <c r="AG3214" s="52"/>
      <c r="AH3214" s="52"/>
      <c r="AI3214" s="50"/>
      <c r="AL3214" s="50"/>
      <c r="AM3214" s="52"/>
      <c r="AN3214" s="52"/>
    </row>
    <row r="3215" spans="16:40" x14ac:dyDescent="0.2">
      <c r="P3215" s="52"/>
      <c r="Q3215" s="52"/>
      <c r="R3215" s="52"/>
      <c r="S3215" s="52"/>
      <c r="T3215" s="52"/>
      <c r="U3215" s="52"/>
      <c r="V3215" s="52"/>
      <c r="W3215" s="52"/>
      <c r="X3215" s="52"/>
      <c r="Y3215" s="52"/>
      <c r="Z3215" s="52"/>
      <c r="AA3215" s="52"/>
      <c r="AB3215" s="52"/>
      <c r="AC3215" s="52"/>
      <c r="AD3215" s="52"/>
      <c r="AE3215" s="52"/>
      <c r="AF3215" s="52"/>
      <c r="AG3215" s="52"/>
      <c r="AH3215" s="52"/>
      <c r="AI3215" s="50"/>
      <c r="AL3215" s="50"/>
      <c r="AM3215" s="52"/>
      <c r="AN3215" s="52"/>
    </row>
    <row r="3216" spans="16:40" x14ac:dyDescent="0.2">
      <c r="P3216" s="52"/>
      <c r="Q3216" s="52"/>
      <c r="R3216" s="52"/>
      <c r="S3216" s="52"/>
      <c r="T3216" s="52"/>
      <c r="U3216" s="52"/>
      <c r="V3216" s="52"/>
      <c r="W3216" s="52"/>
      <c r="X3216" s="52"/>
      <c r="Y3216" s="52"/>
      <c r="Z3216" s="52"/>
      <c r="AA3216" s="52"/>
      <c r="AB3216" s="52"/>
      <c r="AC3216" s="52"/>
      <c r="AD3216" s="52"/>
      <c r="AE3216" s="52"/>
      <c r="AF3216" s="52"/>
      <c r="AG3216" s="52"/>
      <c r="AH3216" s="52"/>
      <c r="AI3216" s="50"/>
      <c r="AL3216" s="50"/>
      <c r="AM3216" s="52"/>
      <c r="AN3216" s="52"/>
    </row>
    <row r="3217" spans="16:40" x14ac:dyDescent="0.2">
      <c r="P3217" s="52"/>
      <c r="Q3217" s="52"/>
      <c r="R3217" s="52"/>
      <c r="S3217" s="52"/>
      <c r="T3217" s="52"/>
      <c r="U3217" s="52"/>
      <c r="V3217" s="52"/>
      <c r="W3217" s="52"/>
      <c r="X3217" s="52"/>
      <c r="Y3217" s="52"/>
      <c r="Z3217" s="52"/>
      <c r="AA3217" s="52"/>
      <c r="AB3217" s="52"/>
      <c r="AC3217" s="52"/>
      <c r="AD3217" s="52"/>
      <c r="AE3217" s="52"/>
      <c r="AF3217" s="52"/>
      <c r="AG3217" s="52"/>
      <c r="AH3217" s="52"/>
      <c r="AI3217" s="50"/>
      <c r="AL3217" s="50"/>
      <c r="AM3217" s="52"/>
      <c r="AN3217" s="52"/>
    </row>
    <row r="3218" spans="16:40" x14ac:dyDescent="0.2">
      <c r="P3218" s="52"/>
      <c r="Q3218" s="52"/>
      <c r="R3218" s="52"/>
      <c r="S3218" s="52"/>
      <c r="T3218" s="52"/>
      <c r="U3218" s="52"/>
      <c r="V3218" s="52"/>
      <c r="W3218" s="52"/>
      <c r="X3218" s="52"/>
      <c r="Y3218" s="52"/>
      <c r="Z3218" s="52"/>
      <c r="AA3218" s="52"/>
      <c r="AB3218" s="52"/>
      <c r="AC3218" s="52"/>
      <c r="AD3218" s="52"/>
      <c r="AE3218" s="52"/>
      <c r="AF3218" s="52"/>
      <c r="AG3218" s="52"/>
      <c r="AH3218" s="52"/>
      <c r="AI3218" s="50"/>
      <c r="AL3218" s="50"/>
      <c r="AM3218" s="52"/>
      <c r="AN3218" s="52"/>
    </row>
    <row r="3219" spans="16:40" x14ac:dyDescent="0.2">
      <c r="P3219" s="52"/>
      <c r="Q3219" s="52"/>
      <c r="R3219" s="52"/>
      <c r="S3219" s="52"/>
      <c r="T3219" s="52"/>
      <c r="U3219" s="52"/>
      <c r="V3219" s="52"/>
      <c r="W3219" s="52"/>
      <c r="X3219" s="52"/>
      <c r="Y3219" s="52"/>
      <c r="Z3219" s="52"/>
      <c r="AA3219" s="52"/>
      <c r="AB3219" s="52"/>
      <c r="AC3219" s="52"/>
      <c r="AD3219" s="52"/>
      <c r="AE3219" s="52"/>
      <c r="AF3219" s="52"/>
      <c r="AG3219" s="52"/>
      <c r="AH3219" s="52"/>
      <c r="AI3219" s="50"/>
      <c r="AL3219" s="50"/>
      <c r="AM3219" s="52"/>
      <c r="AN3219" s="52"/>
    </row>
    <row r="3220" spans="16:40" x14ac:dyDescent="0.2">
      <c r="P3220" s="52"/>
      <c r="Q3220" s="52"/>
      <c r="R3220" s="52"/>
      <c r="S3220" s="52"/>
      <c r="T3220" s="52"/>
      <c r="U3220" s="52"/>
      <c r="V3220" s="52"/>
      <c r="W3220" s="52"/>
      <c r="X3220" s="52"/>
      <c r="Y3220" s="52"/>
      <c r="Z3220" s="52"/>
      <c r="AA3220" s="52"/>
      <c r="AB3220" s="52"/>
      <c r="AC3220" s="52"/>
      <c r="AD3220" s="52"/>
      <c r="AE3220" s="52"/>
      <c r="AF3220" s="52"/>
      <c r="AG3220" s="52"/>
      <c r="AH3220" s="52"/>
      <c r="AI3220" s="50"/>
      <c r="AL3220" s="50"/>
      <c r="AM3220" s="52"/>
      <c r="AN3220" s="52"/>
    </row>
    <row r="3221" spans="16:40" x14ac:dyDescent="0.2">
      <c r="P3221" s="52"/>
      <c r="Q3221" s="52"/>
      <c r="R3221" s="52"/>
      <c r="S3221" s="52"/>
      <c r="T3221" s="52"/>
      <c r="U3221" s="52"/>
      <c r="V3221" s="52"/>
      <c r="W3221" s="52"/>
      <c r="X3221" s="52"/>
      <c r="Y3221" s="52"/>
      <c r="Z3221" s="52"/>
      <c r="AA3221" s="52"/>
      <c r="AB3221" s="52"/>
      <c r="AC3221" s="52"/>
      <c r="AD3221" s="52"/>
      <c r="AE3221" s="52"/>
      <c r="AF3221" s="52"/>
      <c r="AG3221" s="52"/>
      <c r="AH3221" s="52"/>
      <c r="AI3221" s="50"/>
      <c r="AL3221" s="50"/>
      <c r="AM3221" s="52"/>
      <c r="AN3221" s="52"/>
    </row>
    <row r="3222" spans="16:40" x14ac:dyDescent="0.2">
      <c r="P3222" s="52"/>
      <c r="Q3222" s="52"/>
      <c r="R3222" s="52"/>
      <c r="S3222" s="52"/>
      <c r="T3222" s="52"/>
      <c r="U3222" s="52"/>
      <c r="V3222" s="52"/>
      <c r="W3222" s="52"/>
      <c r="X3222" s="52"/>
      <c r="Y3222" s="52"/>
      <c r="Z3222" s="52"/>
      <c r="AA3222" s="52"/>
      <c r="AB3222" s="52"/>
      <c r="AC3222" s="52"/>
      <c r="AD3222" s="52"/>
      <c r="AE3222" s="52"/>
      <c r="AF3222" s="52"/>
      <c r="AG3222" s="52"/>
      <c r="AH3222" s="52"/>
      <c r="AI3222" s="50"/>
      <c r="AL3222" s="50"/>
      <c r="AM3222" s="52"/>
      <c r="AN3222" s="52"/>
    </row>
    <row r="3223" spans="16:40" x14ac:dyDescent="0.2">
      <c r="P3223" s="52"/>
      <c r="Q3223" s="52"/>
      <c r="R3223" s="52"/>
      <c r="S3223" s="52"/>
      <c r="T3223" s="52"/>
      <c r="U3223" s="52"/>
      <c r="V3223" s="52"/>
      <c r="W3223" s="52"/>
      <c r="X3223" s="52"/>
      <c r="Y3223" s="52"/>
      <c r="Z3223" s="52"/>
      <c r="AA3223" s="52"/>
      <c r="AB3223" s="52"/>
      <c r="AC3223" s="52"/>
      <c r="AD3223" s="52"/>
      <c r="AE3223" s="52"/>
      <c r="AF3223" s="52"/>
      <c r="AG3223" s="52"/>
      <c r="AH3223" s="52"/>
      <c r="AI3223" s="50"/>
      <c r="AL3223" s="50"/>
      <c r="AM3223" s="52"/>
      <c r="AN3223" s="52"/>
    </row>
    <row r="3224" spans="16:40" x14ac:dyDescent="0.2">
      <c r="P3224" s="52"/>
      <c r="Q3224" s="52"/>
      <c r="R3224" s="52"/>
      <c r="S3224" s="52"/>
      <c r="T3224" s="52"/>
      <c r="U3224" s="52"/>
      <c r="V3224" s="52"/>
      <c r="W3224" s="52"/>
      <c r="X3224" s="52"/>
      <c r="Y3224" s="52"/>
      <c r="Z3224" s="52"/>
      <c r="AA3224" s="52"/>
      <c r="AB3224" s="52"/>
      <c r="AC3224" s="52"/>
      <c r="AD3224" s="52"/>
      <c r="AE3224" s="52"/>
      <c r="AF3224" s="52"/>
      <c r="AG3224" s="52"/>
      <c r="AH3224" s="52"/>
      <c r="AI3224" s="50"/>
      <c r="AL3224" s="50"/>
      <c r="AM3224" s="52"/>
      <c r="AN3224" s="52"/>
    </row>
    <row r="3225" spans="16:40" x14ac:dyDescent="0.2">
      <c r="P3225" s="52"/>
      <c r="Q3225" s="52"/>
      <c r="R3225" s="52"/>
      <c r="S3225" s="52"/>
      <c r="T3225" s="52"/>
      <c r="U3225" s="52"/>
      <c r="V3225" s="52"/>
      <c r="W3225" s="52"/>
      <c r="X3225" s="52"/>
      <c r="Y3225" s="52"/>
      <c r="Z3225" s="52"/>
      <c r="AA3225" s="52"/>
      <c r="AB3225" s="52"/>
      <c r="AC3225" s="52"/>
      <c r="AD3225" s="52"/>
      <c r="AE3225" s="52"/>
      <c r="AF3225" s="52"/>
      <c r="AG3225" s="52"/>
      <c r="AH3225" s="52"/>
      <c r="AI3225" s="50"/>
      <c r="AL3225" s="50"/>
      <c r="AM3225" s="52"/>
      <c r="AN3225" s="52"/>
    </row>
    <row r="3226" spans="16:40" x14ac:dyDescent="0.2">
      <c r="P3226" s="52"/>
      <c r="Q3226" s="52"/>
      <c r="R3226" s="52"/>
      <c r="S3226" s="52"/>
      <c r="T3226" s="52"/>
      <c r="U3226" s="52"/>
      <c r="V3226" s="52"/>
      <c r="W3226" s="52"/>
      <c r="X3226" s="52"/>
      <c r="Y3226" s="52"/>
      <c r="Z3226" s="52"/>
      <c r="AA3226" s="52"/>
      <c r="AB3226" s="52"/>
      <c r="AC3226" s="52"/>
      <c r="AD3226" s="52"/>
      <c r="AE3226" s="52"/>
      <c r="AF3226" s="52"/>
      <c r="AG3226" s="52"/>
      <c r="AH3226" s="52"/>
      <c r="AI3226" s="50"/>
      <c r="AL3226" s="50"/>
      <c r="AM3226" s="52"/>
      <c r="AN3226" s="52"/>
    </row>
    <row r="3227" spans="16:40" x14ac:dyDescent="0.2">
      <c r="P3227" s="52"/>
      <c r="Q3227" s="52"/>
      <c r="R3227" s="52"/>
      <c r="S3227" s="52"/>
      <c r="T3227" s="52"/>
      <c r="U3227" s="52"/>
      <c r="V3227" s="52"/>
      <c r="W3227" s="52"/>
      <c r="X3227" s="52"/>
      <c r="Y3227" s="52"/>
      <c r="Z3227" s="52"/>
      <c r="AA3227" s="52"/>
      <c r="AB3227" s="52"/>
      <c r="AC3227" s="52"/>
      <c r="AD3227" s="52"/>
      <c r="AE3227" s="52"/>
      <c r="AF3227" s="52"/>
      <c r="AG3227" s="52"/>
      <c r="AH3227" s="52"/>
      <c r="AI3227" s="50"/>
      <c r="AL3227" s="50"/>
      <c r="AM3227" s="52"/>
      <c r="AN3227" s="52"/>
    </row>
    <row r="3228" spans="16:40" x14ac:dyDescent="0.2">
      <c r="P3228" s="52"/>
      <c r="Q3228" s="52"/>
      <c r="R3228" s="52"/>
      <c r="S3228" s="52"/>
      <c r="T3228" s="52"/>
      <c r="U3228" s="52"/>
      <c r="V3228" s="52"/>
      <c r="W3228" s="52"/>
      <c r="X3228" s="52"/>
      <c r="Y3228" s="52"/>
      <c r="Z3228" s="52"/>
      <c r="AA3228" s="52"/>
      <c r="AB3228" s="52"/>
      <c r="AC3228" s="52"/>
      <c r="AD3228" s="52"/>
      <c r="AE3228" s="52"/>
      <c r="AF3228" s="52"/>
      <c r="AG3228" s="52"/>
      <c r="AH3228" s="52"/>
      <c r="AI3228" s="50"/>
      <c r="AL3228" s="50"/>
      <c r="AM3228" s="52"/>
      <c r="AN3228" s="52"/>
    </row>
    <row r="3229" spans="16:40" x14ac:dyDescent="0.2">
      <c r="P3229" s="52"/>
      <c r="Q3229" s="52"/>
      <c r="R3229" s="52"/>
      <c r="S3229" s="52"/>
      <c r="T3229" s="52"/>
      <c r="U3229" s="52"/>
      <c r="V3229" s="52"/>
      <c r="W3229" s="52"/>
      <c r="X3229" s="52"/>
      <c r="Y3229" s="52"/>
      <c r="Z3229" s="52"/>
      <c r="AA3229" s="52"/>
      <c r="AB3229" s="52"/>
      <c r="AC3229" s="52"/>
      <c r="AD3229" s="52"/>
      <c r="AE3229" s="52"/>
      <c r="AF3229" s="52"/>
      <c r="AG3229" s="52"/>
      <c r="AH3229" s="52"/>
      <c r="AI3229" s="50"/>
      <c r="AL3229" s="50"/>
      <c r="AM3229" s="52"/>
      <c r="AN3229" s="52"/>
    </row>
    <row r="3230" spans="16:40" x14ac:dyDescent="0.2">
      <c r="P3230" s="52"/>
      <c r="Q3230" s="52"/>
      <c r="R3230" s="52"/>
      <c r="S3230" s="52"/>
      <c r="T3230" s="52"/>
      <c r="U3230" s="52"/>
      <c r="V3230" s="52"/>
      <c r="W3230" s="52"/>
      <c r="X3230" s="52"/>
      <c r="Y3230" s="52"/>
      <c r="Z3230" s="52"/>
      <c r="AA3230" s="52"/>
      <c r="AB3230" s="52"/>
      <c r="AC3230" s="52"/>
      <c r="AD3230" s="52"/>
      <c r="AE3230" s="52"/>
      <c r="AF3230" s="52"/>
      <c r="AG3230" s="52"/>
      <c r="AH3230" s="52"/>
      <c r="AI3230" s="50"/>
      <c r="AL3230" s="50"/>
      <c r="AM3230" s="52"/>
      <c r="AN3230" s="52"/>
    </row>
    <row r="3231" spans="16:40" x14ac:dyDescent="0.2">
      <c r="P3231" s="52"/>
      <c r="Q3231" s="52"/>
      <c r="R3231" s="52"/>
      <c r="S3231" s="52"/>
      <c r="T3231" s="52"/>
      <c r="U3231" s="52"/>
      <c r="V3231" s="52"/>
      <c r="W3231" s="52"/>
      <c r="X3231" s="52"/>
      <c r="Y3231" s="52"/>
      <c r="Z3231" s="52"/>
      <c r="AA3231" s="52"/>
      <c r="AB3231" s="52"/>
      <c r="AC3231" s="52"/>
      <c r="AD3231" s="52"/>
      <c r="AE3231" s="52"/>
      <c r="AF3231" s="52"/>
      <c r="AG3231" s="52"/>
      <c r="AH3231" s="52"/>
      <c r="AI3231" s="50"/>
      <c r="AL3231" s="50"/>
      <c r="AM3231" s="52"/>
      <c r="AN3231" s="52"/>
    </row>
    <row r="3232" spans="16:40" x14ac:dyDescent="0.2">
      <c r="P3232" s="52"/>
      <c r="Q3232" s="52"/>
      <c r="R3232" s="52"/>
      <c r="S3232" s="52"/>
      <c r="T3232" s="52"/>
      <c r="U3232" s="52"/>
      <c r="V3232" s="52"/>
      <c r="W3232" s="52"/>
      <c r="X3232" s="52"/>
      <c r="Y3232" s="52"/>
      <c r="Z3232" s="52"/>
      <c r="AA3232" s="52"/>
      <c r="AB3232" s="52"/>
      <c r="AC3232" s="52"/>
      <c r="AD3232" s="52"/>
      <c r="AE3232" s="52"/>
      <c r="AF3232" s="52"/>
      <c r="AG3232" s="52"/>
      <c r="AH3232" s="52"/>
      <c r="AI3232" s="50"/>
      <c r="AL3232" s="50"/>
      <c r="AM3232" s="52"/>
      <c r="AN3232" s="52"/>
    </row>
    <row r="3233" spans="16:40" x14ac:dyDescent="0.2">
      <c r="P3233" s="52"/>
      <c r="Q3233" s="52"/>
      <c r="R3233" s="52"/>
      <c r="S3233" s="52"/>
      <c r="T3233" s="52"/>
      <c r="U3233" s="52"/>
      <c r="V3233" s="52"/>
      <c r="W3233" s="52"/>
      <c r="X3233" s="52"/>
      <c r="Y3233" s="52"/>
      <c r="Z3233" s="52"/>
      <c r="AA3233" s="52"/>
      <c r="AB3233" s="52"/>
      <c r="AC3233" s="52"/>
      <c r="AD3233" s="52"/>
      <c r="AE3233" s="52"/>
      <c r="AF3233" s="52"/>
      <c r="AG3233" s="52"/>
      <c r="AH3233" s="52"/>
      <c r="AI3233" s="50"/>
      <c r="AL3233" s="50"/>
      <c r="AM3233" s="52"/>
      <c r="AN3233" s="52"/>
    </row>
    <row r="3234" spans="16:40" x14ac:dyDescent="0.2">
      <c r="P3234" s="52"/>
      <c r="Q3234" s="52"/>
      <c r="R3234" s="52"/>
      <c r="S3234" s="52"/>
      <c r="T3234" s="52"/>
      <c r="U3234" s="52"/>
      <c r="V3234" s="52"/>
      <c r="W3234" s="52"/>
      <c r="X3234" s="52"/>
      <c r="Y3234" s="52"/>
      <c r="Z3234" s="52"/>
      <c r="AA3234" s="52"/>
      <c r="AB3234" s="52"/>
      <c r="AC3234" s="52"/>
      <c r="AD3234" s="52"/>
      <c r="AE3234" s="52"/>
      <c r="AF3234" s="52"/>
      <c r="AG3234" s="52"/>
      <c r="AH3234" s="52"/>
      <c r="AI3234" s="50"/>
      <c r="AL3234" s="50"/>
      <c r="AM3234" s="52"/>
      <c r="AN3234" s="52"/>
    </row>
    <row r="3235" spans="16:40" x14ac:dyDescent="0.2">
      <c r="P3235" s="52"/>
      <c r="Q3235" s="52"/>
      <c r="R3235" s="52"/>
      <c r="S3235" s="52"/>
      <c r="T3235" s="52"/>
      <c r="U3235" s="52"/>
      <c r="V3235" s="52"/>
      <c r="W3235" s="52"/>
      <c r="X3235" s="52"/>
      <c r="Y3235" s="52"/>
      <c r="Z3235" s="52"/>
      <c r="AA3235" s="52"/>
      <c r="AB3235" s="52"/>
      <c r="AC3235" s="52"/>
      <c r="AD3235" s="52"/>
      <c r="AE3235" s="52"/>
      <c r="AF3235" s="52"/>
      <c r="AG3235" s="52"/>
      <c r="AH3235" s="52"/>
      <c r="AI3235" s="50"/>
      <c r="AL3235" s="50"/>
      <c r="AM3235" s="52"/>
      <c r="AN3235" s="52"/>
    </row>
    <row r="3236" spans="16:40" x14ac:dyDescent="0.2">
      <c r="P3236" s="52"/>
      <c r="Q3236" s="52"/>
      <c r="R3236" s="52"/>
      <c r="S3236" s="52"/>
      <c r="T3236" s="52"/>
      <c r="U3236" s="52"/>
      <c r="V3236" s="52"/>
      <c r="W3236" s="52"/>
      <c r="X3236" s="52"/>
      <c r="Y3236" s="52"/>
      <c r="Z3236" s="52"/>
      <c r="AA3236" s="52"/>
      <c r="AB3236" s="52"/>
      <c r="AC3236" s="52"/>
      <c r="AD3236" s="52"/>
      <c r="AE3236" s="52"/>
      <c r="AF3236" s="52"/>
      <c r="AG3236" s="52"/>
      <c r="AH3236" s="52"/>
      <c r="AI3236" s="50"/>
      <c r="AL3236" s="50"/>
      <c r="AM3236" s="52"/>
      <c r="AN3236" s="52"/>
    </row>
    <row r="3237" spans="16:40" x14ac:dyDescent="0.2">
      <c r="P3237" s="52"/>
      <c r="Q3237" s="52"/>
      <c r="R3237" s="52"/>
      <c r="S3237" s="52"/>
      <c r="T3237" s="52"/>
      <c r="U3237" s="52"/>
      <c r="V3237" s="52"/>
      <c r="W3237" s="52"/>
      <c r="X3237" s="52"/>
      <c r="Y3237" s="52"/>
      <c r="Z3237" s="52"/>
      <c r="AA3237" s="52"/>
      <c r="AB3237" s="52"/>
      <c r="AC3237" s="52"/>
      <c r="AD3237" s="52"/>
      <c r="AE3237" s="52"/>
      <c r="AF3237" s="52"/>
      <c r="AG3237" s="52"/>
      <c r="AH3237" s="52"/>
      <c r="AI3237" s="50"/>
      <c r="AL3237" s="50"/>
      <c r="AM3237" s="52"/>
      <c r="AN3237" s="52"/>
    </row>
    <row r="3238" spans="16:40" x14ac:dyDescent="0.2">
      <c r="P3238" s="52"/>
      <c r="Q3238" s="52"/>
      <c r="R3238" s="52"/>
      <c r="S3238" s="52"/>
      <c r="T3238" s="52"/>
      <c r="U3238" s="52"/>
      <c r="V3238" s="52"/>
      <c r="W3238" s="52"/>
      <c r="X3238" s="52"/>
      <c r="Y3238" s="52"/>
      <c r="Z3238" s="52"/>
      <c r="AA3238" s="52"/>
      <c r="AB3238" s="52"/>
      <c r="AC3238" s="52"/>
      <c r="AD3238" s="52"/>
      <c r="AE3238" s="52"/>
      <c r="AF3238" s="52"/>
      <c r="AG3238" s="52"/>
      <c r="AH3238" s="52"/>
      <c r="AI3238" s="50"/>
      <c r="AL3238" s="50"/>
      <c r="AM3238" s="52"/>
      <c r="AN3238" s="52"/>
    </row>
    <row r="3239" spans="16:40" x14ac:dyDescent="0.2">
      <c r="P3239" s="52"/>
      <c r="Q3239" s="52"/>
      <c r="R3239" s="52"/>
      <c r="S3239" s="52"/>
      <c r="T3239" s="52"/>
      <c r="U3239" s="52"/>
      <c r="V3239" s="52"/>
      <c r="W3239" s="52"/>
      <c r="X3239" s="52"/>
      <c r="Y3239" s="52"/>
      <c r="Z3239" s="52"/>
      <c r="AA3239" s="52"/>
      <c r="AB3239" s="52"/>
      <c r="AC3239" s="52"/>
      <c r="AD3239" s="52"/>
      <c r="AE3239" s="52"/>
      <c r="AF3239" s="52"/>
      <c r="AG3239" s="52"/>
      <c r="AH3239" s="52"/>
      <c r="AI3239" s="50"/>
      <c r="AL3239" s="50"/>
      <c r="AM3239" s="52"/>
      <c r="AN3239" s="52"/>
    </row>
    <row r="3240" spans="16:40" x14ac:dyDescent="0.2">
      <c r="P3240" s="52"/>
      <c r="Q3240" s="52"/>
      <c r="R3240" s="52"/>
      <c r="S3240" s="52"/>
      <c r="T3240" s="52"/>
      <c r="U3240" s="52"/>
      <c r="V3240" s="52"/>
      <c r="W3240" s="52"/>
      <c r="X3240" s="52"/>
      <c r="Y3240" s="52"/>
      <c r="Z3240" s="52"/>
      <c r="AA3240" s="52"/>
      <c r="AB3240" s="52"/>
      <c r="AC3240" s="52"/>
      <c r="AD3240" s="52"/>
      <c r="AE3240" s="52"/>
      <c r="AF3240" s="52"/>
      <c r="AG3240" s="52"/>
      <c r="AH3240" s="52"/>
      <c r="AI3240" s="50"/>
      <c r="AL3240" s="50"/>
      <c r="AM3240" s="52"/>
      <c r="AN3240" s="52"/>
    </row>
    <row r="3241" spans="16:40" x14ac:dyDescent="0.2">
      <c r="P3241" s="52"/>
      <c r="Q3241" s="52"/>
      <c r="R3241" s="52"/>
      <c r="S3241" s="52"/>
      <c r="T3241" s="52"/>
      <c r="U3241" s="52"/>
      <c r="V3241" s="52"/>
      <c r="W3241" s="52"/>
      <c r="X3241" s="52"/>
      <c r="Y3241" s="52"/>
      <c r="Z3241" s="52"/>
      <c r="AA3241" s="52"/>
      <c r="AB3241" s="52"/>
      <c r="AC3241" s="52"/>
      <c r="AD3241" s="52"/>
      <c r="AE3241" s="52"/>
      <c r="AF3241" s="52"/>
      <c r="AG3241" s="52"/>
      <c r="AH3241" s="52"/>
      <c r="AI3241" s="50"/>
      <c r="AL3241" s="50"/>
      <c r="AM3241" s="52"/>
      <c r="AN3241" s="52"/>
    </row>
    <row r="3242" spans="16:40" x14ac:dyDescent="0.2">
      <c r="P3242" s="52"/>
      <c r="Q3242" s="52"/>
      <c r="R3242" s="52"/>
      <c r="S3242" s="52"/>
      <c r="T3242" s="52"/>
      <c r="U3242" s="52"/>
      <c r="V3242" s="52"/>
      <c r="W3242" s="52"/>
      <c r="X3242" s="52"/>
      <c r="Y3242" s="52"/>
      <c r="Z3242" s="52"/>
      <c r="AA3242" s="52"/>
      <c r="AB3242" s="52"/>
      <c r="AC3242" s="52"/>
      <c r="AD3242" s="52"/>
      <c r="AE3242" s="52"/>
      <c r="AF3242" s="52"/>
      <c r="AG3242" s="52"/>
      <c r="AH3242" s="52"/>
      <c r="AI3242" s="50"/>
      <c r="AL3242" s="50"/>
      <c r="AM3242" s="52"/>
      <c r="AN3242" s="52"/>
    </row>
    <row r="3243" spans="16:40" x14ac:dyDescent="0.2">
      <c r="P3243" s="52"/>
      <c r="Q3243" s="52"/>
      <c r="R3243" s="52"/>
      <c r="S3243" s="52"/>
      <c r="T3243" s="52"/>
      <c r="U3243" s="52"/>
      <c r="V3243" s="52"/>
      <c r="W3243" s="52"/>
      <c r="X3243" s="52"/>
      <c r="Y3243" s="52"/>
      <c r="Z3243" s="52"/>
      <c r="AA3243" s="52"/>
      <c r="AB3243" s="52"/>
      <c r="AC3243" s="52"/>
      <c r="AD3243" s="52"/>
      <c r="AE3243" s="52"/>
      <c r="AF3243" s="52"/>
      <c r="AG3243" s="52"/>
      <c r="AH3243" s="52"/>
      <c r="AI3243" s="50"/>
      <c r="AL3243" s="50"/>
      <c r="AM3243" s="52"/>
      <c r="AN3243" s="52"/>
    </row>
    <row r="3244" spans="16:40" x14ac:dyDescent="0.2">
      <c r="P3244" s="52"/>
      <c r="Q3244" s="52"/>
      <c r="R3244" s="52"/>
      <c r="S3244" s="52"/>
      <c r="T3244" s="52"/>
      <c r="U3244" s="52"/>
      <c r="V3244" s="52"/>
      <c r="W3244" s="52"/>
      <c r="X3244" s="52"/>
      <c r="Y3244" s="52"/>
      <c r="Z3244" s="52"/>
      <c r="AA3244" s="52"/>
      <c r="AB3244" s="52"/>
      <c r="AC3244" s="52"/>
      <c r="AD3244" s="52"/>
      <c r="AE3244" s="52"/>
      <c r="AF3244" s="52"/>
      <c r="AG3244" s="52"/>
      <c r="AH3244" s="52"/>
      <c r="AI3244" s="50"/>
      <c r="AL3244" s="50"/>
      <c r="AM3244" s="52"/>
      <c r="AN3244" s="52"/>
    </row>
    <row r="3245" spans="16:40" x14ac:dyDescent="0.2">
      <c r="P3245" s="52"/>
      <c r="Q3245" s="52"/>
      <c r="R3245" s="52"/>
      <c r="S3245" s="52"/>
      <c r="T3245" s="52"/>
      <c r="U3245" s="52"/>
      <c r="V3245" s="52"/>
      <c r="W3245" s="52"/>
      <c r="X3245" s="52"/>
      <c r="Y3245" s="52"/>
      <c r="Z3245" s="52"/>
      <c r="AA3245" s="52"/>
      <c r="AB3245" s="52"/>
      <c r="AC3245" s="52"/>
      <c r="AD3245" s="52"/>
      <c r="AE3245" s="52"/>
      <c r="AF3245" s="52"/>
      <c r="AG3245" s="52"/>
      <c r="AH3245" s="52"/>
      <c r="AI3245" s="50"/>
      <c r="AL3245" s="50"/>
      <c r="AM3245" s="52"/>
      <c r="AN3245" s="52"/>
    </row>
    <row r="3246" spans="16:40" x14ac:dyDescent="0.2">
      <c r="P3246" s="52"/>
      <c r="Q3246" s="52"/>
      <c r="R3246" s="52"/>
      <c r="S3246" s="52"/>
      <c r="T3246" s="52"/>
      <c r="U3246" s="52"/>
      <c r="V3246" s="52"/>
      <c r="W3246" s="52"/>
      <c r="X3246" s="52"/>
      <c r="Y3246" s="52"/>
      <c r="Z3246" s="52"/>
      <c r="AA3246" s="52"/>
      <c r="AB3246" s="52"/>
      <c r="AC3246" s="52"/>
      <c r="AD3246" s="52"/>
      <c r="AE3246" s="52"/>
      <c r="AF3246" s="52"/>
      <c r="AG3246" s="52"/>
      <c r="AH3246" s="52"/>
      <c r="AI3246" s="50"/>
      <c r="AL3246" s="50"/>
      <c r="AM3246" s="52"/>
      <c r="AN3246" s="52"/>
    </row>
    <row r="3247" spans="16:40" x14ac:dyDescent="0.2">
      <c r="P3247" s="52"/>
      <c r="Q3247" s="52"/>
      <c r="R3247" s="52"/>
      <c r="S3247" s="52"/>
      <c r="T3247" s="52"/>
      <c r="U3247" s="52"/>
      <c r="V3247" s="52"/>
      <c r="W3247" s="52"/>
      <c r="X3247" s="52"/>
      <c r="Y3247" s="52"/>
      <c r="Z3247" s="52"/>
      <c r="AA3247" s="52"/>
      <c r="AB3247" s="52"/>
      <c r="AC3247" s="52"/>
      <c r="AD3247" s="52"/>
      <c r="AE3247" s="52"/>
      <c r="AF3247" s="52"/>
      <c r="AG3247" s="52"/>
      <c r="AH3247" s="52"/>
      <c r="AI3247" s="50"/>
      <c r="AL3247" s="50"/>
      <c r="AM3247" s="52"/>
      <c r="AN3247" s="52"/>
    </row>
    <row r="3248" spans="16:40" x14ac:dyDescent="0.2">
      <c r="P3248" s="52"/>
      <c r="Q3248" s="52"/>
      <c r="R3248" s="52"/>
      <c r="S3248" s="52"/>
      <c r="T3248" s="52"/>
      <c r="U3248" s="52"/>
      <c r="V3248" s="52"/>
      <c r="W3248" s="52"/>
      <c r="X3248" s="52"/>
      <c r="Y3248" s="52"/>
      <c r="Z3248" s="52"/>
      <c r="AA3248" s="52"/>
      <c r="AB3248" s="52"/>
      <c r="AC3248" s="52"/>
      <c r="AD3248" s="52"/>
      <c r="AE3248" s="52"/>
      <c r="AF3248" s="52"/>
      <c r="AG3248" s="52"/>
      <c r="AH3248" s="52"/>
      <c r="AI3248" s="50"/>
      <c r="AL3248" s="50"/>
      <c r="AM3248" s="52"/>
      <c r="AN3248" s="52"/>
    </row>
    <row r="3249" spans="16:40" x14ac:dyDescent="0.2">
      <c r="P3249" s="52"/>
      <c r="Q3249" s="52"/>
      <c r="R3249" s="52"/>
      <c r="S3249" s="52"/>
      <c r="T3249" s="52"/>
      <c r="U3249" s="52"/>
      <c r="V3249" s="52"/>
      <c r="W3249" s="52"/>
      <c r="X3249" s="52"/>
      <c r="Y3249" s="52"/>
      <c r="Z3249" s="52"/>
      <c r="AA3249" s="52"/>
      <c r="AB3249" s="52"/>
      <c r="AC3249" s="52"/>
      <c r="AD3249" s="52"/>
      <c r="AE3249" s="52"/>
      <c r="AF3249" s="52"/>
      <c r="AG3249" s="52"/>
      <c r="AH3249" s="52"/>
      <c r="AI3249" s="50"/>
      <c r="AL3249" s="50"/>
      <c r="AM3249" s="52"/>
      <c r="AN3249" s="52"/>
    </row>
    <row r="3250" spans="16:40" x14ac:dyDescent="0.2">
      <c r="P3250" s="52"/>
      <c r="Q3250" s="52"/>
      <c r="R3250" s="52"/>
      <c r="S3250" s="52"/>
      <c r="T3250" s="52"/>
      <c r="U3250" s="52"/>
      <c r="V3250" s="52"/>
      <c r="W3250" s="52"/>
      <c r="X3250" s="52"/>
      <c r="Y3250" s="52"/>
      <c r="Z3250" s="52"/>
      <c r="AA3250" s="52"/>
      <c r="AB3250" s="52"/>
      <c r="AC3250" s="52"/>
      <c r="AD3250" s="52"/>
      <c r="AE3250" s="52"/>
      <c r="AF3250" s="52"/>
      <c r="AG3250" s="52"/>
      <c r="AH3250" s="52"/>
      <c r="AI3250" s="50"/>
      <c r="AL3250" s="50"/>
      <c r="AM3250" s="52"/>
      <c r="AN3250" s="52"/>
    </row>
    <row r="3251" spans="16:40" x14ac:dyDescent="0.2">
      <c r="P3251" s="52"/>
      <c r="Q3251" s="52"/>
      <c r="R3251" s="52"/>
      <c r="S3251" s="52"/>
      <c r="T3251" s="52"/>
      <c r="U3251" s="52"/>
      <c r="V3251" s="52"/>
      <c r="W3251" s="52"/>
      <c r="X3251" s="52"/>
      <c r="Y3251" s="52"/>
      <c r="Z3251" s="52"/>
      <c r="AA3251" s="52"/>
      <c r="AB3251" s="52"/>
      <c r="AC3251" s="52"/>
      <c r="AD3251" s="52"/>
      <c r="AE3251" s="52"/>
      <c r="AF3251" s="52"/>
      <c r="AG3251" s="52"/>
      <c r="AH3251" s="52"/>
      <c r="AI3251" s="50"/>
      <c r="AL3251" s="50"/>
      <c r="AM3251" s="52"/>
      <c r="AN3251" s="52"/>
    </row>
    <row r="3252" spans="16:40" x14ac:dyDescent="0.2"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2"/>
      <c r="AA3252" s="52"/>
      <c r="AB3252" s="52"/>
      <c r="AC3252" s="52"/>
      <c r="AD3252" s="52"/>
      <c r="AE3252" s="52"/>
      <c r="AF3252" s="52"/>
      <c r="AG3252" s="52"/>
      <c r="AH3252" s="52"/>
      <c r="AI3252" s="50"/>
      <c r="AL3252" s="50"/>
      <c r="AM3252" s="52"/>
      <c r="AN3252" s="52"/>
    </row>
    <row r="3253" spans="16:40" x14ac:dyDescent="0.2">
      <c r="P3253" s="52"/>
      <c r="Q3253" s="52"/>
      <c r="R3253" s="52"/>
      <c r="S3253" s="52"/>
      <c r="T3253" s="52"/>
      <c r="U3253" s="52"/>
      <c r="V3253" s="52"/>
      <c r="W3253" s="52"/>
      <c r="X3253" s="52"/>
      <c r="Y3253" s="52"/>
      <c r="Z3253" s="52"/>
      <c r="AA3253" s="52"/>
      <c r="AB3253" s="52"/>
      <c r="AC3253" s="52"/>
      <c r="AD3253" s="52"/>
      <c r="AE3253" s="52"/>
      <c r="AF3253" s="52"/>
      <c r="AG3253" s="52"/>
      <c r="AH3253" s="52"/>
      <c r="AI3253" s="50"/>
      <c r="AL3253" s="50"/>
      <c r="AM3253" s="52"/>
      <c r="AN3253" s="52"/>
    </row>
    <row r="3254" spans="16:40" x14ac:dyDescent="0.2">
      <c r="P3254" s="52"/>
      <c r="Q3254" s="52"/>
      <c r="R3254" s="52"/>
      <c r="S3254" s="52"/>
      <c r="T3254" s="52"/>
      <c r="U3254" s="52"/>
      <c r="V3254" s="52"/>
      <c r="W3254" s="52"/>
      <c r="X3254" s="52"/>
      <c r="Y3254" s="52"/>
      <c r="Z3254" s="52"/>
      <c r="AA3254" s="52"/>
      <c r="AB3254" s="52"/>
      <c r="AC3254" s="52"/>
      <c r="AD3254" s="52"/>
      <c r="AE3254" s="52"/>
      <c r="AF3254" s="52"/>
      <c r="AG3254" s="52"/>
      <c r="AH3254" s="52"/>
      <c r="AI3254" s="50"/>
      <c r="AL3254" s="50"/>
      <c r="AM3254" s="52"/>
      <c r="AN3254" s="52"/>
    </row>
    <row r="3255" spans="16:40" x14ac:dyDescent="0.2">
      <c r="P3255" s="52"/>
      <c r="Q3255" s="52"/>
      <c r="R3255" s="52"/>
      <c r="S3255" s="52"/>
      <c r="T3255" s="52"/>
      <c r="U3255" s="52"/>
      <c r="V3255" s="52"/>
      <c r="W3255" s="52"/>
      <c r="X3255" s="52"/>
      <c r="Y3255" s="52"/>
      <c r="Z3255" s="52"/>
      <c r="AA3255" s="52"/>
      <c r="AB3255" s="52"/>
      <c r="AC3255" s="52"/>
      <c r="AD3255" s="52"/>
      <c r="AE3255" s="52"/>
      <c r="AF3255" s="52"/>
      <c r="AG3255" s="52"/>
      <c r="AH3255" s="52"/>
      <c r="AI3255" s="50"/>
      <c r="AL3255" s="50"/>
      <c r="AM3255" s="52"/>
      <c r="AN3255" s="52"/>
    </row>
    <row r="3256" spans="16:40" x14ac:dyDescent="0.2">
      <c r="P3256" s="52"/>
      <c r="Q3256" s="52"/>
      <c r="R3256" s="52"/>
      <c r="S3256" s="52"/>
      <c r="T3256" s="52"/>
      <c r="U3256" s="52"/>
      <c r="V3256" s="52"/>
      <c r="W3256" s="52"/>
      <c r="X3256" s="52"/>
      <c r="Y3256" s="52"/>
      <c r="Z3256" s="52"/>
      <c r="AA3256" s="52"/>
      <c r="AB3256" s="52"/>
      <c r="AC3256" s="52"/>
      <c r="AD3256" s="52"/>
      <c r="AE3256" s="52"/>
      <c r="AF3256" s="52"/>
      <c r="AG3256" s="52"/>
      <c r="AH3256" s="52"/>
      <c r="AI3256" s="50"/>
      <c r="AL3256" s="50"/>
      <c r="AM3256" s="52"/>
      <c r="AN3256" s="52"/>
    </row>
    <row r="3257" spans="16:40" x14ac:dyDescent="0.2">
      <c r="P3257" s="52"/>
      <c r="Q3257" s="52"/>
      <c r="R3257" s="52"/>
      <c r="S3257" s="52"/>
      <c r="T3257" s="52"/>
      <c r="U3257" s="52"/>
      <c r="V3257" s="52"/>
      <c r="W3257" s="52"/>
      <c r="X3257" s="52"/>
      <c r="Y3257" s="52"/>
      <c r="Z3257" s="52"/>
      <c r="AA3257" s="52"/>
      <c r="AB3257" s="52"/>
      <c r="AC3257" s="52"/>
      <c r="AD3257" s="52"/>
      <c r="AE3257" s="52"/>
      <c r="AF3257" s="52"/>
      <c r="AG3257" s="52"/>
      <c r="AH3257" s="52"/>
      <c r="AI3257" s="50"/>
      <c r="AL3257" s="50"/>
      <c r="AM3257" s="52"/>
      <c r="AN3257" s="52"/>
    </row>
    <row r="3258" spans="16:40" x14ac:dyDescent="0.2">
      <c r="P3258" s="52"/>
      <c r="Q3258" s="52"/>
      <c r="R3258" s="52"/>
      <c r="S3258" s="52"/>
      <c r="T3258" s="52"/>
      <c r="U3258" s="52"/>
      <c r="V3258" s="52"/>
      <c r="W3258" s="52"/>
      <c r="X3258" s="52"/>
      <c r="Y3258" s="52"/>
      <c r="Z3258" s="52"/>
      <c r="AA3258" s="52"/>
      <c r="AB3258" s="52"/>
      <c r="AC3258" s="52"/>
      <c r="AD3258" s="52"/>
      <c r="AE3258" s="52"/>
      <c r="AF3258" s="52"/>
      <c r="AG3258" s="52"/>
      <c r="AH3258" s="52"/>
      <c r="AI3258" s="50"/>
      <c r="AL3258" s="50"/>
      <c r="AM3258" s="52"/>
      <c r="AN3258" s="52"/>
    </row>
    <row r="3259" spans="16:40" x14ac:dyDescent="0.2">
      <c r="P3259" s="52"/>
      <c r="Q3259" s="52"/>
      <c r="R3259" s="52"/>
      <c r="S3259" s="52"/>
      <c r="T3259" s="52"/>
      <c r="U3259" s="52"/>
      <c r="V3259" s="52"/>
      <c r="W3259" s="52"/>
      <c r="X3259" s="52"/>
      <c r="Y3259" s="52"/>
      <c r="Z3259" s="52"/>
      <c r="AA3259" s="52"/>
      <c r="AB3259" s="52"/>
      <c r="AC3259" s="52"/>
      <c r="AD3259" s="52"/>
      <c r="AE3259" s="52"/>
      <c r="AF3259" s="52"/>
      <c r="AG3259" s="52"/>
      <c r="AH3259" s="52"/>
      <c r="AI3259" s="50"/>
      <c r="AL3259" s="50"/>
      <c r="AM3259" s="52"/>
      <c r="AN3259" s="52"/>
    </row>
    <row r="3260" spans="16:40" x14ac:dyDescent="0.2">
      <c r="P3260" s="52"/>
      <c r="Q3260" s="52"/>
      <c r="R3260" s="52"/>
      <c r="S3260" s="52"/>
      <c r="T3260" s="52"/>
      <c r="U3260" s="52"/>
      <c r="V3260" s="52"/>
      <c r="W3260" s="52"/>
      <c r="X3260" s="52"/>
      <c r="Y3260" s="52"/>
      <c r="Z3260" s="52"/>
      <c r="AA3260" s="52"/>
      <c r="AB3260" s="52"/>
      <c r="AC3260" s="52"/>
      <c r="AD3260" s="52"/>
      <c r="AE3260" s="52"/>
      <c r="AF3260" s="52"/>
      <c r="AG3260" s="52"/>
      <c r="AH3260" s="52"/>
      <c r="AI3260" s="50"/>
      <c r="AL3260" s="50"/>
      <c r="AM3260" s="52"/>
      <c r="AN3260" s="52"/>
    </row>
    <row r="3261" spans="16:40" x14ac:dyDescent="0.2">
      <c r="P3261" s="52"/>
      <c r="Q3261" s="52"/>
      <c r="R3261" s="52"/>
      <c r="S3261" s="52"/>
      <c r="T3261" s="52"/>
      <c r="U3261" s="52"/>
      <c r="V3261" s="52"/>
      <c r="W3261" s="52"/>
      <c r="X3261" s="52"/>
      <c r="Y3261" s="52"/>
      <c r="Z3261" s="52"/>
      <c r="AA3261" s="52"/>
      <c r="AB3261" s="52"/>
      <c r="AC3261" s="52"/>
      <c r="AD3261" s="52"/>
      <c r="AE3261" s="52"/>
      <c r="AF3261" s="52"/>
      <c r="AG3261" s="52"/>
      <c r="AH3261" s="52"/>
      <c r="AI3261" s="50"/>
      <c r="AL3261" s="50"/>
      <c r="AM3261" s="52"/>
      <c r="AN3261" s="52"/>
    </row>
    <row r="3262" spans="16:40" x14ac:dyDescent="0.2">
      <c r="P3262" s="52"/>
      <c r="Q3262" s="52"/>
      <c r="R3262" s="52"/>
      <c r="S3262" s="52"/>
      <c r="T3262" s="52"/>
      <c r="U3262" s="52"/>
      <c r="V3262" s="52"/>
      <c r="W3262" s="52"/>
      <c r="X3262" s="52"/>
      <c r="Y3262" s="52"/>
      <c r="Z3262" s="52"/>
      <c r="AA3262" s="52"/>
      <c r="AB3262" s="52"/>
      <c r="AC3262" s="52"/>
      <c r="AD3262" s="52"/>
      <c r="AE3262" s="52"/>
      <c r="AF3262" s="52"/>
      <c r="AG3262" s="52"/>
      <c r="AH3262" s="52"/>
      <c r="AI3262" s="50"/>
      <c r="AL3262" s="50"/>
      <c r="AM3262" s="52"/>
      <c r="AN3262" s="52"/>
    </row>
    <row r="3263" spans="16:40" x14ac:dyDescent="0.2">
      <c r="P3263" s="52"/>
      <c r="Q3263" s="52"/>
      <c r="R3263" s="52"/>
      <c r="S3263" s="52"/>
      <c r="T3263" s="52"/>
      <c r="U3263" s="52"/>
      <c r="V3263" s="52"/>
      <c r="W3263" s="52"/>
      <c r="X3263" s="52"/>
      <c r="Y3263" s="52"/>
      <c r="Z3263" s="52"/>
      <c r="AA3263" s="52"/>
      <c r="AB3263" s="52"/>
      <c r="AC3263" s="52"/>
      <c r="AD3263" s="52"/>
      <c r="AE3263" s="52"/>
      <c r="AF3263" s="52"/>
      <c r="AG3263" s="52"/>
      <c r="AH3263" s="52"/>
      <c r="AI3263" s="50"/>
      <c r="AL3263" s="50"/>
      <c r="AM3263" s="52"/>
      <c r="AN3263" s="52"/>
    </row>
    <row r="3264" spans="16:40" x14ac:dyDescent="0.2">
      <c r="P3264" s="52"/>
      <c r="Q3264" s="52"/>
      <c r="R3264" s="52"/>
      <c r="S3264" s="52"/>
      <c r="T3264" s="52"/>
      <c r="U3264" s="52"/>
      <c r="V3264" s="52"/>
      <c r="W3264" s="52"/>
      <c r="X3264" s="52"/>
      <c r="Y3264" s="52"/>
      <c r="Z3264" s="52"/>
      <c r="AA3264" s="52"/>
      <c r="AB3264" s="52"/>
      <c r="AC3264" s="52"/>
      <c r="AD3264" s="52"/>
      <c r="AE3264" s="52"/>
      <c r="AF3264" s="52"/>
      <c r="AG3264" s="52"/>
      <c r="AH3264" s="52"/>
      <c r="AI3264" s="50"/>
      <c r="AL3264" s="50"/>
      <c r="AM3264" s="52"/>
      <c r="AN3264" s="52"/>
    </row>
    <row r="3265" spans="16:40" x14ac:dyDescent="0.2">
      <c r="P3265" s="52"/>
      <c r="Q3265" s="52"/>
      <c r="R3265" s="52"/>
      <c r="S3265" s="52"/>
      <c r="T3265" s="52"/>
      <c r="U3265" s="52"/>
      <c r="V3265" s="52"/>
      <c r="W3265" s="52"/>
      <c r="X3265" s="52"/>
      <c r="Y3265" s="52"/>
      <c r="Z3265" s="52"/>
      <c r="AA3265" s="52"/>
      <c r="AB3265" s="52"/>
      <c r="AC3265" s="52"/>
      <c r="AD3265" s="52"/>
      <c r="AE3265" s="52"/>
      <c r="AF3265" s="52"/>
      <c r="AG3265" s="52"/>
      <c r="AH3265" s="52"/>
      <c r="AI3265" s="50"/>
      <c r="AL3265" s="50"/>
      <c r="AM3265" s="52"/>
      <c r="AN3265" s="52"/>
    </row>
    <row r="3266" spans="16:40" x14ac:dyDescent="0.2">
      <c r="P3266" s="52"/>
      <c r="Q3266" s="52"/>
      <c r="R3266" s="52"/>
      <c r="S3266" s="52"/>
      <c r="T3266" s="52"/>
      <c r="U3266" s="52"/>
      <c r="V3266" s="52"/>
      <c r="W3266" s="52"/>
      <c r="X3266" s="52"/>
      <c r="Y3266" s="52"/>
      <c r="Z3266" s="52"/>
      <c r="AA3266" s="52"/>
      <c r="AB3266" s="52"/>
      <c r="AC3266" s="52"/>
      <c r="AD3266" s="52"/>
      <c r="AE3266" s="52"/>
      <c r="AF3266" s="52"/>
      <c r="AG3266" s="52"/>
      <c r="AH3266" s="52"/>
      <c r="AI3266" s="50"/>
      <c r="AL3266" s="50"/>
      <c r="AM3266" s="52"/>
      <c r="AN3266" s="52"/>
    </row>
    <row r="3267" spans="16:40" x14ac:dyDescent="0.2">
      <c r="P3267" s="52"/>
      <c r="Q3267" s="52"/>
      <c r="R3267" s="52"/>
      <c r="S3267" s="52"/>
      <c r="T3267" s="52"/>
      <c r="U3267" s="52"/>
      <c r="V3267" s="52"/>
      <c r="W3267" s="52"/>
      <c r="X3267" s="52"/>
      <c r="Y3267" s="52"/>
      <c r="Z3267" s="52"/>
      <c r="AA3267" s="52"/>
      <c r="AB3267" s="52"/>
      <c r="AC3267" s="52"/>
      <c r="AD3267" s="52"/>
      <c r="AE3267" s="52"/>
      <c r="AF3267" s="52"/>
      <c r="AG3267" s="52"/>
      <c r="AH3267" s="52"/>
      <c r="AI3267" s="50"/>
      <c r="AL3267" s="50"/>
      <c r="AM3267" s="52"/>
      <c r="AN3267" s="52"/>
    </row>
    <row r="3268" spans="16:40" x14ac:dyDescent="0.2">
      <c r="P3268" s="52"/>
      <c r="Q3268" s="52"/>
      <c r="R3268" s="52"/>
      <c r="S3268" s="52"/>
      <c r="T3268" s="52"/>
      <c r="U3268" s="52"/>
      <c r="V3268" s="52"/>
      <c r="W3268" s="52"/>
      <c r="X3268" s="52"/>
      <c r="Y3268" s="52"/>
      <c r="Z3268" s="52"/>
      <c r="AA3268" s="52"/>
      <c r="AB3268" s="52"/>
      <c r="AC3268" s="52"/>
      <c r="AD3268" s="52"/>
      <c r="AE3268" s="52"/>
      <c r="AF3268" s="52"/>
      <c r="AG3268" s="52"/>
      <c r="AH3268" s="52"/>
      <c r="AI3268" s="50"/>
      <c r="AL3268" s="50"/>
      <c r="AM3268" s="52"/>
      <c r="AN3268" s="52"/>
    </row>
    <row r="3269" spans="16:40" x14ac:dyDescent="0.2">
      <c r="P3269" s="52"/>
      <c r="Q3269" s="52"/>
      <c r="R3269" s="52"/>
      <c r="S3269" s="52"/>
      <c r="T3269" s="52"/>
      <c r="U3269" s="52"/>
      <c r="V3269" s="52"/>
      <c r="W3269" s="52"/>
      <c r="X3269" s="52"/>
      <c r="Y3269" s="52"/>
      <c r="Z3269" s="52"/>
      <c r="AA3269" s="52"/>
      <c r="AB3269" s="52"/>
      <c r="AC3269" s="52"/>
      <c r="AD3269" s="52"/>
      <c r="AE3269" s="52"/>
      <c r="AF3269" s="52"/>
      <c r="AG3269" s="52"/>
      <c r="AH3269" s="52"/>
      <c r="AI3269" s="50"/>
      <c r="AL3269" s="50"/>
      <c r="AM3269" s="52"/>
      <c r="AN3269" s="52"/>
    </row>
    <row r="3270" spans="16:40" x14ac:dyDescent="0.2">
      <c r="P3270" s="52"/>
      <c r="Q3270" s="52"/>
      <c r="R3270" s="52"/>
      <c r="S3270" s="52"/>
      <c r="T3270" s="52"/>
      <c r="U3270" s="52"/>
      <c r="V3270" s="52"/>
      <c r="W3270" s="52"/>
      <c r="X3270" s="52"/>
      <c r="Y3270" s="52"/>
      <c r="Z3270" s="52"/>
      <c r="AA3270" s="52"/>
      <c r="AB3270" s="52"/>
      <c r="AC3270" s="52"/>
      <c r="AD3270" s="52"/>
      <c r="AE3270" s="52"/>
      <c r="AF3270" s="52"/>
      <c r="AG3270" s="52"/>
      <c r="AH3270" s="52"/>
      <c r="AI3270" s="50"/>
      <c r="AL3270" s="50"/>
      <c r="AM3270" s="52"/>
      <c r="AN3270" s="52"/>
    </row>
    <row r="3271" spans="16:40" x14ac:dyDescent="0.2">
      <c r="P3271" s="52"/>
      <c r="Q3271" s="52"/>
      <c r="R3271" s="52"/>
      <c r="S3271" s="52"/>
      <c r="T3271" s="52"/>
      <c r="U3271" s="52"/>
      <c r="V3271" s="52"/>
      <c r="W3271" s="52"/>
      <c r="X3271" s="52"/>
      <c r="Y3271" s="52"/>
      <c r="Z3271" s="52"/>
      <c r="AA3271" s="52"/>
      <c r="AB3271" s="52"/>
      <c r="AC3271" s="52"/>
      <c r="AD3271" s="52"/>
      <c r="AE3271" s="52"/>
      <c r="AF3271" s="52"/>
      <c r="AG3271" s="52"/>
      <c r="AH3271" s="52"/>
      <c r="AI3271" s="50"/>
      <c r="AL3271" s="50"/>
      <c r="AM3271" s="52"/>
      <c r="AN3271" s="52"/>
    </row>
    <row r="3272" spans="16:40" x14ac:dyDescent="0.2">
      <c r="P3272" s="52"/>
      <c r="Q3272" s="52"/>
      <c r="R3272" s="52"/>
      <c r="S3272" s="52"/>
      <c r="T3272" s="52"/>
      <c r="U3272" s="52"/>
      <c r="V3272" s="52"/>
      <c r="W3272" s="52"/>
      <c r="X3272" s="52"/>
      <c r="Y3272" s="52"/>
      <c r="Z3272" s="52"/>
      <c r="AA3272" s="52"/>
      <c r="AB3272" s="52"/>
      <c r="AC3272" s="52"/>
      <c r="AD3272" s="52"/>
      <c r="AE3272" s="52"/>
      <c r="AF3272" s="52"/>
      <c r="AG3272" s="52"/>
      <c r="AH3272" s="52"/>
      <c r="AI3272" s="50"/>
      <c r="AL3272" s="50"/>
      <c r="AM3272" s="52"/>
      <c r="AN3272" s="52"/>
    </row>
    <row r="3273" spans="16:40" x14ac:dyDescent="0.2">
      <c r="P3273" s="52"/>
      <c r="Q3273" s="52"/>
      <c r="R3273" s="52"/>
      <c r="S3273" s="52"/>
      <c r="T3273" s="52"/>
      <c r="U3273" s="52"/>
      <c r="V3273" s="52"/>
      <c r="W3273" s="52"/>
      <c r="X3273" s="52"/>
      <c r="Y3273" s="52"/>
      <c r="Z3273" s="52"/>
      <c r="AA3273" s="52"/>
      <c r="AB3273" s="52"/>
      <c r="AC3273" s="52"/>
      <c r="AD3273" s="52"/>
      <c r="AE3273" s="52"/>
      <c r="AF3273" s="52"/>
      <c r="AG3273" s="52"/>
      <c r="AH3273" s="52"/>
      <c r="AI3273" s="50"/>
      <c r="AL3273" s="50"/>
      <c r="AM3273" s="52"/>
      <c r="AN3273" s="52"/>
    </row>
    <row r="3274" spans="16:40" x14ac:dyDescent="0.2">
      <c r="P3274" s="52"/>
      <c r="Q3274" s="52"/>
      <c r="R3274" s="52"/>
      <c r="S3274" s="52"/>
      <c r="T3274" s="52"/>
      <c r="U3274" s="52"/>
      <c r="V3274" s="52"/>
      <c r="W3274" s="52"/>
      <c r="X3274" s="52"/>
      <c r="Y3274" s="52"/>
      <c r="Z3274" s="52"/>
      <c r="AA3274" s="52"/>
      <c r="AB3274" s="52"/>
      <c r="AC3274" s="52"/>
      <c r="AD3274" s="52"/>
      <c r="AE3274" s="52"/>
      <c r="AF3274" s="52"/>
      <c r="AG3274" s="52"/>
      <c r="AH3274" s="52"/>
      <c r="AI3274" s="50"/>
      <c r="AL3274" s="50"/>
      <c r="AM3274" s="52"/>
      <c r="AN3274" s="52"/>
    </row>
    <row r="3275" spans="16:40" x14ac:dyDescent="0.2">
      <c r="P3275" s="52"/>
      <c r="Q3275" s="52"/>
      <c r="R3275" s="52"/>
      <c r="S3275" s="52"/>
      <c r="T3275" s="52"/>
      <c r="U3275" s="52"/>
      <c r="V3275" s="52"/>
      <c r="W3275" s="52"/>
      <c r="X3275" s="52"/>
      <c r="Y3275" s="52"/>
      <c r="Z3275" s="52"/>
      <c r="AA3275" s="52"/>
      <c r="AB3275" s="52"/>
      <c r="AC3275" s="52"/>
      <c r="AD3275" s="52"/>
      <c r="AE3275" s="52"/>
      <c r="AF3275" s="52"/>
      <c r="AG3275" s="52"/>
      <c r="AH3275" s="52"/>
      <c r="AI3275" s="50"/>
      <c r="AL3275" s="50"/>
      <c r="AM3275" s="52"/>
      <c r="AN3275" s="52"/>
    </row>
    <row r="3276" spans="16:40" x14ac:dyDescent="0.2">
      <c r="P3276" s="52"/>
      <c r="Q3276" s="52"/>
      <c r="R3276" s="52"/>
      <c r="S3276" s="52"/>
      <c r="T3276" s="52"/>
      <c r="U3276" s="52"/>
      <c r="V3276" s="52"/>
      <c r="W3276" s="52"/>
      <c r="X3276" s="52"/>
      <c r="Y3276" s="52"/>
      <c r="Z3276" s="52"/>
      <c r="AA3276" s="52"/>
      <c r="AB3276" s="52"/>
      <c r="AC3276" s="52"/>
      <c r="AD3276" s="52"/>
      <c r="AE3276" s="52"/>
      <c r="AF3276" s="52"/>
      <c r="AG3276" s="52"/>
      <c r="AH3276" s="52"/>
      <c r="AI3276" s="50"/>
      <c r="AL3276" s="50"/>
      <c r="AM3276" s="52"/>
      <c r="AN3276" s="52"/>
    </row>
    <row r="3277" spans="16:40" x14ac:dyDescent="0.2">
      <c r="P3277" s="52"/>
      <c r="Q3277" s="52"/>
      <c r="R3277" s="52"/>
      <c r="S3277" s="52"/>
      <c r="T3277" s="52"/>
      <c r="U3277" s="52"/>
      <c r="V3277" s="52"/>
      <c r="W3277" s="52"/>
      <c r="X3277" s="52"/>
      <c r="Y3277" s="52"/>
      <c r="Z3277" s="52"/>
      <c r="AA3277" s="52"/>
      <c r="AB3277" s="52"/>
      <c r="AC3277" s="52"/>
      <c r="AD3277" s="52"/>
      <c r="AE3277" s="52"/>
      <c r="AF3277" s="52"/>
      <c r="AG3277" s="52"/>
      <c r="AH3277" s="52"/>
      <c r="AI3277" s="50"/>
      <c r="AL3277" s="50"/>
      <c r="AM3277" s="52"/>
      <c r="AN3277" s="52"/>
    </row>
    <row r="3278" spans="16:40" x14ac:dyDescent="0.2">
      <c r="P3278" s="52"/>
      <c r="Q3278" s="52"/>
      <c r="R3278" s="52"/>
      <c r="S3278" s="52"/>
      <c r="T3278" s="52"/>
      <c r="U3278" s="52"/>
      <c r="V3278" s="52"/>
      <c r="W3278" s="52"/>
      <c r="X3278" s="52"/>
      <c r="Y3278" s="52"/>
      <c r="Z3278" s="52"/>
      <c r="AA3278" s="52"/>
      <c r="AB3278" s="52"/>
      <c r="AC3278" s="52"/>
      <c r="AD3278" s="52"/>
      <c r="AE3278" s="52"/>
      <c r="AF3278" s="52"/>
      <c r="AG3278" s="52"/>
      <c r="AH3278" s="52"/>
      <c r="AI3278" s="50"/>
      <c r="AL3278" s="50"/>
      <c r="AM3278" s="52"/>
      <c r="AN3278" s="52"/>
    </row>
    <row r="3279" spans="16:40" x14ac:dyDescent="0.2">
      <c r="P3279" s="52"/>
      <c r="Q3279" s="52"/>
      <c r="R3279" s="52"/>
      <c r="S3279" s="52"/>
      <c r="T3279" s="52"/>
      <c r="U3279" s="52"/>
      <c r="V3279" s="52"/>
      <c r="W3279" s="52"/>
      <c r="X3279" s="52"/>
      <c r="Y3279" s="52"/>
      <c r="Z3279" s="52"/>
      <c r="AA3279" s="52"/>
      <c r="AB3279" s="52"/>
      <c r="AC3279" s="52"/>
      <c r="AD3279" s="52"/>
      <c r="AE3279" s="52"/>
      <c r="AF3279" s="52"/>
      <c r="AG3279" s="52"/>
      <c r="AH3279" s="52"/>
      <c r="AI3279" s="50"/>
      <c r="AL3279" s="50"/>
      <c r="AM3279" s="52"/>
      <c r="AN3279" s="52"/>
    </row>
    <row r="3280" spans="16:40" x14ac:dyDescent="0.2">
      <c r="P3280" s="52"/>
      <c r="Q3280" s="52"/>
      <c r="R3280" s="52"/>
      <c r="S3280" s="52"/>
      <c r="T3280" s="52"/>
      <c r="U3280" s="52"/>
      <c r="V3280" s="52"/>
      <c r="W3280" s="52"/>
      <c r="X3280" s="52"/>
      <c r="Y3280" s="52"/>
      <c r="Z3280" s="52"/>
      <c r="AA3280" s="52"/>
      <c r="AB3280" s="52"/>
      <c r="AC3280" s="52"/>
      <c r="AD3280" s="52"/>
      <c r="AE3280" s="52"/>
      <c r="AF3280" s="52"/>
      <c r="AG3280" s="52"/>
      <c r="AH3280" s="52"/>
      <c r="AI3280" s="50"/>
      <c r="AL3280" s="50"/>
      <c r="AM3280" s="52"/>
      <c r="AN3280" s="52"/>
    </row>
    <row r="3281" spans="16:40" x14ac:dyDescent="0.2">
      <c r="P3281" s="52"/>
      <c r="Q3281" s="52"/>
      <c r="R3281" s="52"/>
      <c r="S3281" s="52"/>
      <c r="T3281" s="52"/>
      <c r="U3281" s="52"/>
      <c r="V3281" s="52"/>
      <c r="W3281" s="52"/>
      <c r="X3281" s="52"/>
      <c r="Y3281" s="52"/>
      <c r="Z3281" s="52"/>
      <c r="AA3281" s="52"/>
      <c r="AB3281" s="52"/>
      <c r="AC3281" s="52"/>
      <c r="AD3281" s="52"/>
      <c r="AE3281" s="52"/>
      <c r="AF3281" s="52"/>
      <c r="AG3281" s="52"/>
      <c r="AH3281" s="52"/>
      <c r="AI3281" s="50"/>
      <c r="AL3281" s="50"/>
      <c r="AM3281" s="52"/>
      <c r="AN3281" s="52"/>
    </row>
    <row r="3282" spans="16:40" x14ac:dyDescent="0.2">
      <c r="P3282" s="52"/>
      <c r="Q3282" s="52"/>
      <c r="R3282" s="52"/>
      <c r="S3282" s="52"/>
      <c r="T3282" s="52"/>
      <c r="U3282" s="52"/>
      <c r="V3282" s="52"/>
      <c r="W3282" s="52"/>
      <c r="X3282" s="52"/>
      <c r="Y3282" s="52"/>
      <c r="Z3282" s="52"/>
      <c r="AA3282" s="52"/>
      <c r="AB3282" s="52"/>
      <c r="AC3282" s="52"/>
      <c r="AD3282" s="52"/>
      <c r="AE3282" s="52"/>
      <c r="AF3282" s="52"/>
      <c r="AG3282" s="52"/>
      <c r="AH3282" s="52"/>
      <c r="AI3282" s="50"/>
      <c r="AL3282" s="50"/>
      <c r="AM3282" s="52"/>
      <c r="AN3282" s="52"/>
    </row>
    <row r="3283" spans="16:40" x14ac:dyDescent="0.2">
      <c r="P3283" s="52"/>
      <c r="Q3283" s="52"/>
      <c r="R3283" s="52"/>
      <c r="S3283" s="52"/>
      <c r="T3283" s="52"/>
      <c r="U3283" s="52"/>
      <c r="V3283" s="52"/>
      <c r="W3283" s="52"/>
      <c r="X3283" s="52"/>
      <c r="Y3283" s="52"/>
      <c r="Z3283" s="52"/>
      <c r="AA3283" s="52"/>
      <c r="AB3283" s="52"/>
      <c r="AC3283" s="52"/>
      <c r="AD3283" s="52"/>
      <c r="AE3283" s="52"/>
      <c r="AF3283" s="52"/>
      <c r="AG3283" s="52"/>
      <c r="AH3283" s="52"/>
      <c r="AI3283" s="50"/>
      <c r="AL3283" s="50"/>
      <c r="AM3283" s="52"/>
      <c r="AN3283" s="52"/>
    </row>
    <row r="3284" spans="16:40" x14ac:dyDescent="0.2">
      <c r="P3284" s="52"/>
      <c r="Q3284" s="52"/>
      <c r="R3284" s="52"/>
      <c r="S3284" s="52"/>
      <c r="T3284" s="52"/>
      <c r="U3284" s="52"/>
      <c r="V3284" s="52"/>
      <c r="W3284" s="52"/>
      <c r="X3284" s="52"/>
      <c r="Y3284" s="52"/>
      <c r="Z3284" s="52"/>
      <c r="AA3284" s="52"/>
      <c r="AB3284" s="52"/>
      <c r="AC3284" s="52"/>
      <c r="AD3284" s="52"/>
      <c r="AE3284" s="52"/>
      <c r="AF3284" s="52"/>
      <c r="AG3284" s="52"/>
      <c r="AH3284" s="52"/>
      <c r="AI3284" s="50"/>
      <c r="AL3284" s="50"/>
      <c r="AM3284" s="52"/>
      <c r="AN3284" s="52"/>
    </row>
    <row r="3285" spans="16:40" x14ac:dyDescent="0.2">
      <c r="P3285" s="52"/>
      <c r="Q3285" s="52"/>
      <c r="R3285" s="52"/>
      <c r="S3285" s="52"/>
      <c r="T3285" s="52"/>
      <c r="U3285" s="52"/>
      <c r="V3285" s="52"/>
      <c r="W3285" s="52"/>
      <c r="X3285" s="52"/>
      <c r="Y3285" s="52"/>
      <c r="Z3285" s="52"/>
      <c r="AA3285" s="52"/>
      <c r="AB3285" s="52"/>
      <c r="AC3285" s="52"/>
      <c r="AD3285" s="52"/>
      <c r="AE3285" s="52"/>
      <c r="AF3285" s="52"/>
      <c r="AG3285" s="52"/>
      <c r="AH3285" s="52"/>
      <c r="AI3285" s="50"/>
      <c r="AL3285" s="50"/>
      <c r="AM3285" s="52"/>
      <c r="AN3285" s="52"/>
    </row>
    <row r="3286" spans="16:40" x14ac:dyDescent="0.2">
      <c r="P3286" s="52"/>
      <c r="Q3286" s="52"/>
      <c r="R3286" s="52"/>
      <c r="S3286" s="52"/>
      <c r="T3286" s="52"/>
      <c r="U3286" s="52"/>
      <c r="V3286" s="52"/>
      <c r="W3286" s="52"/>
      <c r="X3286" s="52"/>
      <c r="Y3286" s="52"/>
      <c r="Z3286" s="52"/>
      <c r="AA3286" s="52"/>
      <c r="AB3286" s="52"/>
      <c r="AC3286" s="52"/>
      <c r="AD3286" s="52"/>
      <c r="AE3286" s="52"/>
      <c r="AF3286" s="52"/>
      <c r="AG3286" s="52"/>
      <c r="AH3286" s="52"/>
      <c r="AI3286" s="50"/>
      <c r="AL3286" s="50"/>
      <c r="AM3286" s="52"/>
      <c r="AN3286" s="52"/>
    </row>
    <row r="3287" spans="16:40" x14ac:dyDescent="0.2">
      <c r="P3287" s="52"/>
      <c r="Q3287" s="52"/>
      <c r="R3287" s="52"/>
      <c r="S3287" s="52"/>
      <c r="T3287" s="52"/>
      <c r="U3287" s="52"/>
      <c r="V3287" s="52"/>
      <c r="W3287" s="52"/>
      <c r="X3287" s="52"/>
      <c r="Y3287" s="52"/>
      <c r="Z3287" s="52"/>
      <c r="AA3287" s="52"/>
      <c r="AB3287" s="52"/>
      <c r="AC3287" s="52"/>
      <c r="AD3287" s="52"/>
      <c r="AE3287" s="52"/>
      <c r="AF3287" s="52"/>
      <c r="AG3287" s="52"/>
      <c r="AH3287" s="52"/>
      <c r="AI3287" s="50"/>
      <c r="AL3287" s="50"/>
      <c r="AM3287" s="52"/>
      <c r="AN3287" s="52"/>
    </row>
    <row r="3288" spans="16:40" x14ac:dyDescent="0.2">
      <c r="P3288" s="52"/>
      <c r="Q3288" s="52"/>
      <c r="R3288" s="52"/>
      <c r="S3288" s="52"/>
      <c r="T3288" s="52"/>
      <c r="U3288" s="52"/>
      <c r="V3288" s="52"/>
      <c r="W3288" s="52"/>
      <c r="X3288" s="52"/>
      <c r="Y3288" s="52"/>
      <c r="Z3288" s="52"/>
      <c r="AA3288" s="52"/>
      <c r="AB3288" s="52"/>
      <c r="AC3288" s="52"/>
      <c r="AD3288" s="52"/>
      <c r="AE3288" s="52"/>
      <c r="AF3288" s="52"/>
      <c r="AG3288" s="52"/>
      <c r="AH3288" s="52"/>
      <c r="AI3288" s="50"/>
      <c r="AL3288" s="50"/>
      <c r="AM3288" s="52"/>
      <c r="AN3288" s="52"/>
    </row>
    <row r="3289" spans="16:40" x14ac:dyDescent="0.2">
      <c r="P3289" s="52"/>
      <c r="Q3289" s="52"/>
      <c r="R3289" s="52"/>
      <c r="S3289" s="52"/>
      <c r="T3289" s="52"/>
      <c r="U3289" s="52"/>
      <c r="V3289" s="52"/>
      <c r="W3289" s="52"/>
      <c r="X3289" s="52"/>
      <c r="Y3289" s="52"/>
      <c r="Z3289" s="52"/>
      <c r="AA3289" s="52"/>
      <c r="AB3289" s="52"/>
      <c r="AC3289" s="52"/>
      <c r="AD3289" s="52"/>
      <c r="AE3289" s="52"/>
      <c r="AF3289" s="52"/>
      <c r="AG3289" s="52"/>
      <c r="AH3289" s="52"/>
      <c r="AI3289" s="50"/>
      <c r="AL3289" s="50"/>
      <c r="AM3289" s="52"/>
      <c r="AN3289" s="52"/>
    </row>
    <row r="3290" spans="16:40" x14ac:dyDescent="0.2"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2"/>
      <c r="AA3290" s="52"/>
      <c r="AB3290" s="52"/>
      <c r="AC3290" s="52"/>
      <c r="AD3290" s="52"/>
      <c r="AE3290" s="52"/>
      <c r="AF3290" s="52"/>
      <c r="AG3290" s="52"/>
      <c r="AH3290" s="52"/>
      <c r="AI3290" s="50"/>
      <c r="AL3290" s="50"/>
      <c r="AM3290" s="52"/>
      <c r="AN3290" s="52"/>
    </row>
    <row r="3291" spans="16:40" x14ac:dyDescent="0.2">
      <c r="P3291" s="52"/>
      <c r="Q3291" s="52"/>
      <c r="R3291" s="52"/>
      <c r="S3291" s="52"/>
      <c r="T3291" s="52"/>
      <c r="U3291" s="52"/>
      <c r="V3291" s="52"/>
      <c r="W3291" s="52"/>
      <c r="X3291" s="52"/>
      <c r="Y3291" s="52"/>
      <c r="Z3291" s="52"/>
      <c r="AA3291" s="52"/>
      <c r="AB3291" s="52"/>
      <c r="AC3291" s="52"/>
      <c r="AD3291" s="52"/>
      <c r="AE3291" s="52"/>
      <c r="AF3291" s="52"/>
      <c r="AG3291" s="52"/>
      <c r="AH3291" s="52"/>
      <c r="AI3291" s="50"/>
      <c r="AL3291" s="50"/>
      <c r="AM3291" s="52"/>
      <c r="AN3291" s="52"/>
    </row>
    <row r="3292" spans="16:40" x14ac:dyDescent="0.2">
      <c r="P3292" s="52"/>
      <c r="Q3292" s="52"/>
      <c r="R3292" s="52"/>
      <c r="S3292" s="52"/>
      <c r="T3292" s="52"/>
      <c r="U3292" s="52"/>
      <c r="V3292" s="52"/>
      <c r="W3292" s="52"/>
      <c r="X3292" s="52"/>
      <c r="Y3292" s="52"/>
      <c r="Z3292" s="52"/>
      <c r="AA3292" s="52"/>
      <c r="AB3292" s="52"/>
      <c r="AC3292" s="52"/>
      <c r="AD3292" s="52"/>
      <c r="AE3292" s="52"/>
      <c r="AF3292" s="52"/>
      <c r="AG3292" s="52"/>
      <c r="AH3292" s="52"/>
      <c r="AI3292" s="50"/>
      <c r="AL3292" s="50"/>
      <c r="AM3292" s="52"/>
      <c r="AN3292" s="52"/>
    </row>
    <row r="3293" spans="16:40" x14ac:dyDescent="0.2">
      <c r="P3293" s="52"/>
      <c r="Q3293" s="52"/>
      <c r="R3293" s="52"/>
      <c r="S3293" s="52"/>
      <c r="T3293" s="52"/>
      <c r="U3293" s="52"/>
      <c r="V3293" s="52"/>
      <c r="W3293" s="52"/>
      <c r="X3293" s="52"/>
      <c r="Y3293" s="52"/>
      <c r="Z3293" s="52"/>
      <c r="AA3293" s="52"/>
      <c r="AB3293" s="52"/>
      <c r="AC3293" s="52"/>
      <c r="AD3293" s="52"/>
      <c r="AE3293" s="52"/>
      <c r="AF3293" s="52"/>
      <c r="AG3293" s="52"/>
      <c r="AH3293" s="52"/>
      <c r="AI3293" s="50"/>
      <c r="AL3293" s="50"/>
      <c r="AM3293" s="52"/>
      <c r="AN3293" s="52"/>
    </row>
    <row r="3294" spans="16:40" x14ac:dyDescent="0.2">
      <c r="P3294" s="52"/>
      <c r="Q3294" s="52"/>
      <c r="R3294" s="52"/>
      <c r="S3294" s="52"/>
      <c r="T3294" s="52"/>
      <c r="U3294" s="52"/>
      <c r="V3294" s="52"/>
      <c r="W3294" s="52"/>
      <c r="X3294" s="52"/>
      <c r="Y3294" s="52"/>
      <c r="Z3294" s="52"/>
      <c r="AA3294" s="52"/>
      <c r="AB3294" s="52"/>
      <c r="AC3294" s="52"/>
      <c r="AD3294" s="52"/>
      <c r="AE3294" s="52"/>
      <c r="AF3294" s="52"/>
      <c r="AG3294" s="52"/>
      <c r="AH3294" s="52"/>
      <c r="AI3294" s="50"/>
      <c r="AL3294" s="50"/>
      <c r="AM3294" s="52"/>
      <c r="AN3294" s="52"/>
    </row>
    <row r="3295" spans="16:40" x14ac:dyDescent="0.2">
      <c r="P3295" s="52"/>
      <c r="Q3295" s="52"/>
      <c r="R3295" s="52"/>
      <c r="S3295" s="52"/>
      <c r="T3295" s="52"/>
      <c r="U3295" s="52"/>
      <c r="V3295" s="52"/>
      <c r="W3295" s="52"/>
      <c r="X3295" s="52"/>
      <c r="Y3295" s="52"/>
      <c r="Z3295" s="52"/>
      <c r="AA3295" s="52"/>
      <c r="AB3295" s="52"/>
      <c r="AC3295" s="52"/>
      <c r="AD3295" s="52"/>
      <c r="AE3295" s="52"/>
      <c r="AF3295" s="52"/>
      <c r="AG3295" s="52"/>
      <c r="AH3295" s="52"/>
      <c r="AI3295" s="50"/>
      <c r="AL3295" s="50"/>
      <c r="AM3295" s="52"/>
      <c r="AN3295" s="52"/>
    </row>
    <row r="3296" spans="16:40" x14ac:dyDescent="0.2">
      <c r="P3296" s="52"/>
      <c r="Q3296" s="52"/>
      <c r="R3296" s="52"/>
      <c r="S3296" s="52"/>
      <c r="T3296" s="52"/>
      <c r="U3296" s="52"/>
      <c r="V3296" s="52"/>
      <c r="W3296" s="52"/>
      <c r="X3296" s="52"/>
      <c r="Y3296" s="52"/>
      <c r="Z3296" s="52"/>
      <c r="AA3296" s="52"/>
      <c r="AB3296" s="52"/>
      <c r="AC3296" s="52"/>
      <c r="AD3296" s="52"/>
      <c r="AE3296" s="52"/>
      <c r="AF3296" s="52"/>
      <c r="AG3296" s="52"/>
      <c r="AH3296" s="52"/>
      <c r="AI3296" s="50"/>
      <c r="AL3296" s="50"/>
      <c r="AM3296" s="52"/>
      <c r="AN3296" s="52"/>
    </row>
    <row r="3297" spans="16:40" x14ac:dyDescent="0.2">
      <c r="P3297" s="52"/>
      <c r="Q3297" s="52"/>
      <c r="R3297" s="52"/>
      <c r="S3297" s="52"/>
      <c r="T3297" s="52"/>
      <c r="U3297" s="52"/>
      <c r="V3297" s="52"/>
      <c r="W3297" s="52"/>
      <c r="X3297" s="52"/>
      <c r="Y3297" s="52"/>
      <c r="Z3297" s="52"/>
      <c r="AA3297" s="52"/>
      <c r="AB3297" s="52"/>
      <c r="AC3297" s="52"/>
      <c r="AD3297" s="52"/>
      <c r="AE3297" s="52"/>
      <c r="AF3297" s="52"/>
      <c r="AG3297" s="52"/>
      <c r="AH3297" s="52"/>
      <c r="AI3297" s="50"/>
      <c r="AL3297" s="50"/>
      <c r="AM3297" s="52"/>
      <c r="AN3297" s="52"/>
    </row>
    <row r="3298" spans="16:40" x14ac:dyDescent="0.2">
      <c r="P3298" s="52"/>
      <c r="Q3298" s="52"/>
      <c r="R3298" s="52"/>
      <c r="S3298" s="52"/>
      <c r="T3298" s="52"/>
      <c r="U3298" s="52"/>
      <c r="V3298" s="52"/>
      <c r="W3298" s="52"/>
      <c r="X3298" s="52"/>
      <c r="Y3298" s="52"/>
      <c r="Z3298" s="52"/>
      <c r="AA3298" s="52"/>
      <c r="AB3298" s="52"/>
      <c r="AC3298" s="52"/>
      <c r="AD3298" s="52"/>
      <c r="AE3298" s="52"/>
      <c r="AF3298" s="52"/>
      <c r="AG3298" s="52"/>
      <c r="AH3298" s="52"/>
      <c r="AI3298" s="50"/>
      <c r="AL3298" s="50"/>
      <c r="AM3298" s="52"/>
      <c r="AN3298" s="52"/>
    </row>
    <row r="3299" spans="16:40" x14ac:dyDescent="0.2">
      <c r="P3299" s="52"/>
      <c r="Q3299" s="52"/>
      <c r="R3299" s="52"/>
      <c r="S3299" s="52"/>
      <c r="T3299" s="52"/>
      <c r="U3299" s="52"/>
      <c r="V3299" s="52"/>
      <c r="W3299" s="52"/>
      <c r="X3299" s="52"/>
      <c r="Y3299" s="52"/>
      <c r="Z3299" s="52"/>
      <c r="AA3299" s="52"/>
      <c r="AB3299" s="52"/>
      <c r="AC3299" s="52"/>
      <c r="AD3299" s="52"/>
      <c r="AE3299" s="52"/>
      <c r="AF3299" s="52"/>
      <c r="AG3299" s="52"/>
      <c r="AH3299" s="52"/>
      <c r="AI3299" s="50"/>
      <c r="AL3299" s="50"/>
      <c r="AM3299" s="52"/>
      <c r="AN3299" s="52"/>
    </row>
    <row r="3300" spans="16:40" x14ac:dyDescent="0.2">
      <c r="P3300" s="52"/>
      <c r="Q3300" s="52"/>
      <c r="R3300" s="52"/>
      <c r="S3300" s="52"/>
      <c r="T3300" s="52"/>
      <c r="U3300" s="52"/>
      <c r="V3300" s="52"/>
      <c r="W3300" s="52"/>
      <c r="X3300" s="52"/>
      <c r="Y3300" s="52"/>
      <c r="Z3300" s="52"/>
      <c r="AA3300" s="52"/>
      <c r="AB3300" s="52"/>
      <c r="AC3300" s="52"/>
      <c r="AD3300" s="52"/>
      <c r="AE3300" s="52"/>
      <c r="AF3300" s="52"/>
      <c r="AG3300" s="52"/>
      <c r="AH3300" s="52"/>
      <c r="AI3300" s="50"/>
      <c r="AL3300" s="50"/>
      <c r="AM3300" s="52"/>
      <c r="AN3300" s="52"/>
    </row>
    <row r="3301" spans="16:40" x14ac:dyDescent="0.2">
      <c r="P3301" s="52"/>
      <c r="Q3301" s="52"/>
      <c r="R3301" s="52"/>
      <c r="S3301" s="52"/>
      <c r="T3301" s="52"/>
      <c r="U3301" s="52"/>
      <c r="V3301" s="52"/>
      <c r="W3301" s="52"/>
      <c r="X3301" s="52"/>
      <c r="Y3301" s="52"/>
      <c r="Z3301" s="52"/>
      <c r="AA3301" s="52"/>
      <c r="AB3301" s="52"/>
      <c r="AC3301" s="52"/>
      <c r="AD3301" s="52"/>
      <c r="AE3301" s="52"/>
      <c r="AF3301" s="52"/>
      <c r="AG3301" s="52"/>
      <c r="AH3301" s="52"/>
      <c r="AI3301" s="50"/>
      <c r="AL3301" s="50"/>
      <c r="AM3301" s="52"/>
      <c r="AN3301" s="52"/>
    </row>
    <row r="3302" spans="16:40" x14ac:dyDescent="0.2">
      <c r="P3302" s="52"/>
      <c r="Q3302" s="52"/>
      <c r="R3302" s="52"/>
      <c r="S3302" s="52"/>
      <c r="T3302" s="52"/>
      <c r="U3302" s="52"/>
      <c r="V3302" s="52"/>
      <c r="W3302" s="52"/>
      <c r="X3302" s="52"/>
      <c r="Y3302" s="52"/>
      <c r="Z3302" s="52"/>
      <c r="AA3302" s="52"/>
      <c r="AB3302" s="52"/>
      <c r="AC3302" s="52"/>
      <c r="AD3302" s="52"/>
      <c r="AE3302" s="52"/>
      <c r="AF3302" s="52"/>
      <c r="AG3302" s="52"/>
      <c r="AH3302" s="52"/>
      <c r="AI3302" s="50"/>
      <c r="AL3302" s="50"/>
      <c r="AM3302" s="52"/>
      <c r="AN3302" s="52"/>
    </row>
    <row r="3303" spans="16:40" x14ac:dyDescent="0.2">
      <c r="P3303" s="52"/>
      <c r="Q3303" s="52"/>
      <c r="R3303" s="52"/>
      <c r="S3303" s="52"/>
      <c r="T3303" s="52"/>
      <c r="U3303" s="52"/>
      <c r="V3303" s="52"/>
      <c r="W3303" s="52"/>
      <c r="X3303" s="52"/>
      <c r="Y3303" s="52"/>
      <c r="Z3303" s="52"/>
      <c r="AA3303" s="52"/>
      <c r="AB3303" s="52"/>
      <c r="AC3303" s="52"/>
      <c r="AD3303" s="52"/>
      <c r="AE3303" s="52"/>
      <c r="AF3303" s="52"/>
      <c r="AG3303" s="52"/>
      <c r="AH3303" s="52"/>
      <c r="AI3303" s="50"/>
      <c r="AL3303" s="50"/>
      <c r="AM3303" s="52"/>
      <c r="AN3303" s="52"/>
    </row>
    <row r="3304" spans="16:40" x14ac:dyDescent="0.2">
      <c r="P3304" s="52"/>
      <c r="Q3304" s="52"/>
      <c r="R3304" s="52"/>
      <c r="S3304" s="52"/>
      <c r="T3304" s="52"/>
      <c r="U3304" s="52"/>
      <c r="V3304" s="52"/>
      <c r="W3304" s="52"/>
      <c r="X3304" s="52"/>
      <c r="Y3304" s="52"/>
      <c r="Z3304" s="52"/>
      <c r="AA3304" s="52"/>
      <c r="AB3304" s="52"/>
      <c r="AC3304" s="52"/>
      <c r="AD3304" s="52"/>
      <c r="AE3304" s="52"/>
      <c r="AF3304" s="52"/>
      <c r="AG3304" s="52"/>
      <c r="AH3304" s="52"/>
      <c r="AI3304" s="50"/>
      <c r="AL3304" s="50"/>
      <c r="AM3304" s="52"/>
      <c r="AN3304" s="52"/>
    </row>
    <row r="3305" spans="16:40" x14ac:dyDescent="0.2">
      <c r="P3305" s="52"/>
      <c r="Q3305" s="52"/>
      <c r="R3305" s="52"/>
      <c r="S3305" s="52"/>
      <c r="T3305" s="52"/>
      <c r="U3305" s="52"/>
      <c r="V3305" s="52"/>
      <c r="W3305" s="52"/>
      <c r="X3305" s="52"/>
      <c r="Y3305" s="52"/>
      <c r="Z3305" s="52"/>
      <c r="AA3305" s="52"/>
      <c r="AB3305" s="52"/>
      <c r="AC3305" s="52"/>
      <c r="AD3305" s="52"/>
      <c r="AE3305" s="52"/>
      <c r="AF3305" s="52"/>
      <c r="AG3305" s="52"/>
      <c r="AH3305" s="52"/>
      <c r="AI3305" s="50"/>
      <c r="AL3305" s="50"/>
      <c r="AM3305" s="52"/>
      <c r="AN3305" s="52"/>
    </row>
    <row r="3306" spans="16:40" x14ac:dyDescent="0.2">
      <c r="P3306" s="52"/>
      <c r="Q3306" s="52"/>
      <c r="R3306" s="52"/>
      <c r="S3306" s="52"/>
      <c r="T3306" s="52"/>
      <c r="U3306" s="52"/>
      <c r="V3306" s="52"/>
      <c r="W3306" s="52"/>
      <c r="X3306" s="52"/>
      <c r="Y3306" s="52"/>
      <c r="Z3306" s="52"/>
      <c r="AA3306" s="52"/>
      <c r="AB3306" s="52"/>
      <c r="AC3306" s="52"/>
      <c r="AD3306" s="52"/>
      <c r="AE3306" s="52"/>
      <c r="AF3306" s="52"/>
      <c r="AG3306" s="52"/>
      <c r="AH3306" s="52"/>
      <c r="AI3306" s="50"/>
      <c r="AL3306" s="50"/>
      <c r="AM3306" s="52"/>
      <c r="AN3306" s="52"/>
    </row>
    <row r="3307" spans="16:40" x14ac:dyDescent="0.2">
      <c r="P3307" s="52"/>
      <c r="Q3307" s="52"/>
      <c r="R3307" s="52"/>
      <c r="S3307" s="52"/>
      <c r="T3307" s="52"/>
      <c r="U3307" s="52"/>
      <c r="V3307" s="52"/>
      <c r="W3307" s="52"/>
      <c r="X3307" s="52"/>
      <c r="Y3307" s="52"/>
      <c r="Z3307" s="52"/>
      <c r="AA3307" s="52"/>
      <c r="AB3307" s="52"/>
      <c r="AC3307" s="52"/>
      <c r="AD3307" s="52"/>
      <c r="AE3307" s="52"/>
      <c r="AF3307" s="52"/>
      <c r="AG3307" s="52"/>
      <c r="AH3307" s="52"/>
      <c r="AI3307" s="50"/>
      <c r="AL3307" s="50"/>
      <c r="AM3307" s="52"/>
      <c r="AN3307" s="52"/>
    </row>
    <row r="3308" spans="16:40" x14ac:dyDescent="0.2">
      <c r="P3308" s="52"/>
      <c r="Q3308" s="52"/>
      <c r="R3308" s="52"/>
      <c r="S3308" s="52"/>
      <c r="T3308" s="52"/>
      <c r="U3308" s="52"/>
      <c r="V3308" s="52"/>
      <c r="W3308" s="52"/>
      <c r="X3308" s="52"/>
      <c r="Y3308" s="52"/>
      <c r="Z3308" s="52"/>
      <c r="AA3308" s="52"/>
      <c r="AB3308" s="52"/>
      <c r="AC3308" s="52"/>
      <c r="AD3308" s="52"/>
      <c r="AE3308" s="52"/>
      <c r="AF3308" s="52"/>
      <c r="AG3308" s="52"/>
      <c r="AH3308" s="52"/>
      <c r="AI3308" s="50"/>
      <c r="AL3308" s="50"/>
      <c r="AM3308" s="52"/>
      <c r="AN3308" s="52"/>
    </row>
    <row r="3309" spans="16:40" x14ac:dyDescent="0.2">
      <c r="P3309" s="52"/>
      <c r="Q3309" s="52"/>
      <c r="R3309" s="52"/>
      <c r="S3309" s="52"/>
      <c r="T3309" s="52"/>
      <c r="U3309" s="52"/>
      <c r="V3309" s="52"/>
      <c r="W3309" s="52"/>
      <c r="X3309" s="52"/>
      <c r="Y3309" s="52"/>
      <c r="Z3309" s="52"/>
      <c r="AA3309" s="52"/>
      <c r="AB3309" s="52"/>
      <c r="AC3309" s="52"/>
      <c r="AD3309" s="52"/>
      <c r="AE3309" s="52"/>
      <c r="AF3309" s="52"/>
      <c r="AG3309" s="52"/>
      <c r="AH3309" s="52"/>
      <c r="AI3309" s="50"/>
      <c r="AL3309" s="50"/>
      <c r="AM3309" s="52"/>
      <c r="AN3309" s="52"/>
    </row>
    <row r="3310" spans="16:40" x14ac:dyDescent="0.2">
      <c r="P3310" s="52"/>
      <c r="Q3310" s="52"/>
      <c r="R3310" s="52"/>
      <c r="S3310" s="52"/>
      <c r="T3310" s="52"/>
      <c r="U3310" s="52"/>
      <c r="V3310" s="52"/>
      <c r="W3310" s="52"/>
      <c r="X3310" s="52"/>
      <c r="Y3310" s="52"/>
      <c r="Z3310" s="52"/>
      <c r="AA3310" s="52"/>
      <c r="AB3310" s="52"/>
      <c r="AC3310" s="52"/>
      <c r="AD3310" s="52"/>
      <c r="AE3310" s="52"/>
      <c r="AF3310" s="52"/>
      <c r="AG3310" s="52"/>
      <c r="AH3310" s="52"/>
      <c r="AI3310" s="50"/>
      <c r="AL3310" s="50"/>
      <c r="AM3310" s="52"/>
      <c r="AN3310" s="52"/>
    </row>
    <row r="3311" spans="16:40" x14ac:dyDescent="0.2">
      <c r="P3311" s="52"/>
      <c r="Q3311" s="52"/>
      <c r="R3311" s="52"/>
      <c r="S3311" s="52"/>
      <c r="T3311" s="52"/>
      <c r="U3311" s="52"/>
      <c r="V3311" s="52"/>
      <c r="W3311" s="52"/>
      <c r="X3311" s="52"/>
      <c r="Y3311" s="52"/>
      <c r="Z3311" s="52"/>
      <c r="AA3311" s="52"/>
      <c r="AB3311" s="52"/>
      <c r="AC3311" s="52"/>
      <c r="AD3311" s="52"/>
      <c r="AE3311" s="52"/>
      <c r="AF3311" s="52"/>
      <c r="AG3311" s="52"/>
      <c r="AH3311" s="52"/>
      <c r="AI3311" s="50"/>
      <c r="AL3311" s="50"/>
      <c r="AM3311" s="52"/>
      <c r="AN3311" s="52"/>
    </row>
    <row r="3312" spans="16:40" x14ac:dyDescent="0.2">
      <c r="P3312" s="52"/>
      <c r="Q3312" s="52"/>
      <c r="R3312" s="52"/>
      <c r="S3312" s="52"/>
      <c r="T3312" s="52"/>
      <c r="U3312" s="52"/>
      <c r="V3312" s="52"/>
      <c r="W3312" s="52"/>
      <c r="X3312" s="52"/>
      <c r="Y3312" s="52"/>
      <c r="Z3312" s="52"/>
      <c r="AA3312" s="52"/>
      <c r="AB3312" s="52"/>
      <c r="AC3312" s="52"/>
      <c r="AD3312" s="52"/>
      <c r="AE3312" s="52"/>
      <c r="AF3312" s="52"/>
      <c r="AG3312" s="52"/>
      <c r="AH3312" s="52"/>
      <c r="AI3312" s="50"/>
      <c r="AL3312" s="50"/>
      <c r="AM3312" s="52"/>
      <c r="AN3312" s="52"/>
    </row>
    <row r="3313" spans="16:40" x14ac:dyDescent="0.2">
      <c r="P3313" s="52"/>
      <c r="Q3313" s="52"/>
      <c r="R3313" s="52"/>
      <c r="S3313" s="52"/>
      <c r="T3313" s="52"/>
      <c r="U3313" s="52"/>
      <c r="V3313" s="52"/>
      <c r="W3313" s="52"/>
      <c r="X3313" s="52"/>
      <c r="Y3313" s="52"/>
      <c r="Z3313" s="52"/>
      <c r="AA3313" s="52"/>
      <c r="AB3313" s="52"/>
      <c r="AC3313" s="52"/>
      <c r="AD3313" s="52"/>
      <c r="AE3313" s="52"/>
      <c r="AF3313" s="52"/>
      <c r="AG3313" s="52"/>
      <c r="AH3313" s="52"/>
      <c r="AI3313" s="50"/>
      <c r="AL3313" s="50"/>
      <c r="AM3313" s="52"/>
      <c r="AN3313" s="52"/>
    </row>
    <row r="3314" spans="16:40" x14ac:dyDescent="0.2">
      <c r="P3314" s="52"/>
      <c r="Q3314" s="52"/>
      <c r="R3314" s="52"/>
      <c r="S3314" s="52"/>
      <c r="T3314" s="52"/>
      <c r="U3314" s="52"/>
      <c r="V3314" s="52"/>
      <c r="W3314" s="52"/>
      <c r="X3314" s="52"/>
      <c r="Y3314" s="52"/>
      <c r="Z3314" s="52"/>
      <c r="AA3314" s="52"/>
      <c r="AB3314" s="52"/>
      <c r="AC3314" s="52"/>
      <c r="AD3314" s="52"/>
      <c r="AE3314" s="52"/>
      <c r="AF3314" s="52"/>
      <c r="AG3314" s="52"/>
      <c r="AH3314" s="52"/>
      <c r="AI3314" s="50"/>
      <c r="AL3314" s="50"/>
      <c r="AM3314" s="52"/>
      <c r="AN3314" s="52"/>
    </row>
    <row r="3315" spans="16:40" x14ac:dyDescent="0.2">
      <c r="P3315" s="52"/>
      <c r="Q3315" s="52"/>
      <c r="R3315" s="52"/>
      <c r="S3315" s="52"/>
      <c r="T3315" s="52"/>
      <c r="U3315" s="52"/>
      <c r="V3315" s="52"/>
      <c r="W3315" s="52"/>
      <c r="X3315" s="52"/>
      <c r="Y3315" s="52"/>
      <c r="Z3315" s="52"/>
      <c r="AA3315" s="52"/>
      <c r="AB3315" s="52"/>
      <c r="AC3315" s="52"/>
      <c r="AD3315" s="52"/>
      <c r="AE3315" s="52"/>
      <c r="AF3315" s="52"/>
      <c r="AG3315" s="52"/>
      <c r="AH3315" s="52"/>
      <c r="AI3315" s="50"/>
      <c r="AL3315" s="50"/>
      <c r="AM3315" s="52"/>
      <c r="AN3315" s="52"/>
    </row>
    <row r="3316" spans="16:40" x14ac:dyDescent="0.2">
      <c r="P3316" s="52"/>
      <c r="Q3316" s="52"/>
      <c r="R3316" s="52"/>
      <c r="S3316" s="52"/>
      <c r="T3316" s="52"/>
      <c r="U3316" s="52"/>
      <c r="V3316" s="52"/>
      <c r="W3316" s="52"/>
      <c r="X3316" s="52"/>
      <c r="Y3316" s="52"/>
      <c r="Z3316" s="52"/>
      <c r="AA3316" s="52"/>
      <c r="AB3316" s="52"/>
      <c r="AC3316" s="52"/>
      <c r="AD3316" s="52"/>
      <c r="AE3316" s="52"/>
      <c r="AF3316" s="52"/>
      <c r="AG3316" s="52"/>
      <c r="AH3316" s="52"/>
      <c r="AI3316" s="50"/>
      <c r="AL3316" s="50"/>
      <c r="AM3316" s="52"/>
      <c r="AN3316" s="52"/>
    </row>
    <row r="3317" spans="16:40" x14ac:dyDescent="0.2">
      <c r="P3317" s="52"/>
      <c r="Q3317" s="52"/>
      <c r="R3317" s="52"/>
      <c r="S3317" s="52"/>
      <c r="T3317" s="52"/>
      <c r="U3317" s="52"/>
      <c r="V3317" s="52"/>
      <c r="W3317" s="52"/>
      <c r="X3317" s="52"/>
      <c r="Y3317" s="52"/>
      <c r="Z3317" s="52"/>
      <c r="AA3317" s="52"/>
      <c r="AB3317" s="52"/>
      <c r="AC3317" s="52"/>
      <c r="AD3317" s="52"/>
      <c r="AE3317" s="52"/>
      <c r="AF3317" s="52"/>
      <c r="AG3317" s="52"/>
      <c r="AH3317" s="52"/>
      <c r="AI3317" s="50"/>
      <c r="AL3317" s="50"/>
      <c r="AM3317" s="52"/>
      <c r="AN3317" s="52"/>
    </row>
    <row r="3318" spans="16:40" x14ac:dyDescent="0.2">
      <c r="P3318" s="52"/>
      <c r="Q3318" s="52"/>
      <c r="R3318" s="52"/>
      <c r="S3318" s="52"/>
      <c r="T3318" s="52"/>
      <c r="U3318" s="52"/>
      <c r="V3318" s="52"/>
      <c r="W3318" s="52"/>
      <c r="X3318" s="52"/>
      <c r="Y3318" s="52"/>
      <c r="Z3318" s="52"/>
      <c r="AA3318" s="52"/>
      <c r="AB3318" s="52"/>
      <c r="AC3318" s="52"/>
      <c r="AD3318" s="52"/>
      <c r="AE3318" s="52"/>
      <c r="AF3318" s="52"/>
      <c r="AG3318" s="52"/>
      <c r="AH3318" s="52"/>
      <c r="AI3318" s="50"/>
      <c r="AL3318" s="50"/>
      <c r="AM3318" s="52"/>
      <c r="AN3318" s="52"/>
    </row>
    <row r="3319" spans="16:40" x14ac:dyDescent="0.2">
      <c r="P3319" s="52"/>
      <c r="Q3319" s="52"/>
      <c r="R3319" s="52"/>
      <c r="S3319" s="52"/>
      <c r="T3319" s="52"/>
      <c r="U3319" s="52"/>
      <c r="V3319" s="52"/>
      <c r="W3319" s="52"/>
      <c r="X3319" s="52"/>
      <c r="Y3319" s="52"/>
      <c r="Z3319" s="52"/>
      <c r="AA3319" s="52"/>
      <c r="AB3319" s="52"/>
      <c r="AC3319" s="52"/>
      <c r="AD3319" s="52"/>
      <c r="AE3319" s="52"/>
      <c r="AF3319" s="52"/>
      <c r="AG3319" s="52"/>
      <c r="AH3319" s="52"/>
      <c r="AI3319" s="50"/>
      <c r="AL3319" s="50"/>
      <c r="AM3319" s="52"/>
      <c r="AN3319" s="52"/>
    </row>
    <row r="3320" spans="16:40" x14ac:dyDescent="0.2">
      <c r="P3320" s="52"/>
      <c r="Q3320" s="52"/>
      <c r="R3320" s="52"/>
      <c r="S3320" s="52"/>
      <c r="T3320" s="52"/>
      <c r="U3320" s="52"/>
      <c r="V3320" s="52"/>
      <c r="W3320" s="52"/>
      <c r="X3320" s="52"/>
      <c r="Y3320" s="52"/>
      <c r="Z3320" s="52"/>
      <c r="AA3320" s="52"/>
      <c r="AB3320" s="52"/>
      <c r="AC3320" s="52"/>
      <c r="AD3320" s="52"/>
      <c r="AE3320" s="52"/>
      <c r="AF3320" s="52"/>
      <c r="AG3320" s="52"/>
      <c r="AH3320" s="52"/>
      <c r="AI3320" s="50"/>
      <c r="AL3320" s="50"/>
      <c r="AM3320" s="52"/>
      <c r="AN3320" s="52"/>
    </row>
    <row r="3321" spans="16:40" x14ac:dyDescent="0.2">
      <c r="P3321" s="52"/>
      <c r="Q3321" s="52"/>
      <c r="R3321" s="52"/>
      <c r="S3321" s="52"/>
      <c r="T3321" s="52"/>
      <c r="U3321" s="52"/>
      <c r="V3321" s="52"/>
      <c r="W3321" s="52"/>
      <c r="X3321" s="52"/>
      <c r="Y3321" s="52"/>
      <c r="Z3321" s="52"/>
      <c r="AA3321" s="52"/>
      <c r="AB3321" s="52"/>
      <c r="AC3321" s="52"/>
      <c r="AD3321" s="52"/>
      <c r="AE3321" s="52"/>
      <c r="AF3321" s="52"/>
      <c r="AG3321" s="52"/>
      <c r="AH3321" s="52"/>
      <c r="AI3321" s="50"/>
      <c r="AL3321" s="50"/>
      <c r="AM3321" s="52"/>
      <c r="AN3321" s="52"/>
    </row>
    <row r="3322" spans="16:40" x14ac:dyDescent="0.2">
      <c r="P3322" s="52"/>
      <c r="Q3322" s="52"/>
      <c r="R3322" s="52"/>
      <c r="S3322" s="52"/>
      <c r="T3322" s="52"/>
      <c r="U3322" s="52"/>
      <c r="V3322" s="52"/>
      <c r="W3322" s="52"/>
      <c r="X3322" s="52"/>
      <c r="Y3322" s="52"/>
      <c r="Z3322" s="52"/>
      <c r="AA3322" s="52"/>
      <c r="AB3322" s="52"/>
      <c r="AC3322" s="52"/>
      <c r="AD3322" s="52"/>
      <c r="AE3322" s="52"/>
      <c r="AF3322" s="52"/>
      <c r="AG3322" s="52"/>
      <c r="AH3322" s="52"/>
      <c r="AI3322" s="50"/>
      <c r="AL3322" s="50"/>
      <c r="AM3322" s="52"/>
      <c r="AN3322" s="52"/>
    </row>
    <row r="3323" spans="16:40" x14ac:dyDescent="0.2">
      <c r="P3323" s="52"/>
      <c r="Q3323" s="52"/>
      <c r="R3323" s="52"/>
      <c r="S3323" s="52"/>
      <c r="T3323" s="52"/>
      <c r="U3323" s="52"/>
      <c r="V3323" s="52"/>
      <c r="W3323" s="52"/>
      <c r="X3323" s="52"/>
      <c r="Y3323" s="52"/>
      <c r="Z3323" s="52"/>
      <c r="AA3323" s="52"/>
      <c r="AB3323" s="52"/>
      <c r="AC3323" s="52"/>
      <c r="AD3323" s="52"/>
      <c r="AE3323" s="52"/>
      <c r="AF3323" s="52"/>
      <c r="AG3323" s="52"/>
      <c r="AH3323" s="52"/>
      <c r="AI3323" s="50"/>
      <c r="AL3323" s="50"/>
      <c r="AM3323" s="52"/>
      <c r="AN3323" s="52"/>
    </row>
    <row r="3324" spans="16:40" x14ac:dyDescent="0.2">
      <c r="P3324" s="52"/>
      <c r="Q3324" s="52"/>
      <c r="R3324" s="52"/>
      <c r="S3324" s="52"/>
      <c r="T3324" s="52"/>
      <c r="U3324" s="52"/>
      <c r="V3324" s="52"/>
      <c r="W3324" s="52"/>
      <c r="X3324" s="52"/>
      <c r="Y3324" s="52"/>
      <c r="Z3324" s="52"/>
      <c r="AA3324" s="52"/>
      <c r="AB3324" s="52"/>
      <c r="AC3324" s="52"/>
      <c r="AD3324" s="52"/>
      <c r="AE3324" s="52"/>
      <c r="AF3324" s="52"/>
      <c r="AG3324" s="52"/>
      <c r="AH3324" s="52"/>
      <c r="AI3324" s="50"/>
      <c r="AL3324" s="50"/>
      <c r="AM3324" s="52"/>
      <c r="AN3324" s="52"/>
    </row>
    <row r="3325" spans="16:40" x14ac:dyDescent="0.2">
      <c r="P3325" s="52"/>
      <c r="Q3325" s="52"/>
      <c r="R3325" s="52"/>
      <c r="S3325" s="52"/>
      <c r="T3325" s="52"/>
      <c r="U3325" s="52"/>
      <c r="V3325" s="52"/>
      <c r="W3325" s="52"/>
      <c r="X3325" s="52"/>
      <c r="Y3325" s="52"/>
      <c r="Z3325" s="52"/>
      <c r="AA3325" s="52"/>
      <c r="AB3325" s="52"/>
      <c r="AC3325" s="52"/>
      <c r="AD3325" s="52"/>
      <c r="AE3325" s="52"/>
      <c r="AF3325" s="52"/>
      <c r="AG3325" s="52"/>
      <c r="AH3325" s="52"/>
      <c r="AI3325" s="50"/>
      <c r="AL3325" s="50"/>
      <c r="AM3325" s="52"/>
      <c r="AN3325" s="52"/>
    </row>
    <row r="3326" spans="16:40" x14ac:dyDescent="0.2">
      <c r="P3326" s="52"/>
      <c r="Q3326" s="52"/>
      <c r="R3326" s="52"/>
      <c r="S3326" s="52"/>
      <c r="T3326" s="52"/>
      <c r="U3326" s="52"/>
      <c r="V3326" s="52"/>
      <c r="W3326" s="52"/>
      <c r="X3326" s="52"/>
      <c r="Y3326" s="52"/>
      <c r="Z3326" s="52"/>
      <c r="AA3326" s="52"/>
      <c r="AB3326" s="52"/>
      <c r="AC3326" s="52"/>
      <c r="AD3326" s="52"/>
      <c r="AE3326" s="52"/>
      <c r="AF3326" s="52"/>
      <c r="AG3326" s="52"/>
      <c r="AH3326" s="52"/>
      <c r="AI3326" s="50"/>
      <c r="AL3326" s="50"/>
      <c r="AM3326" s="52"/>
      <c r="AN3326" s="52"/>
    </row>
    <row r="3327" spans="16:40" x14ac:dyDescent="0.2">
      <c r="P3327" s="52"/>
      <c r="Q3327" s="52"/>
      <c r="R3327" s="52"/>
      <c r="S3327" s="52"/>
      <c r="T3327" s="52"/>
      <c r="U3327" s="52"/>
      <c r="V3327" s="52"/>
      <c r="W3327" s="52"/>
      <c r="X3327" s="52"/>
      <c r="Y3327" s="52"/>
      <c r="Z3327" s="52"/>
      <c r="AA3327" s="52"/>
      <c r="AB3327" s="52"/>
      <c r="AC3327" s="52"/>
      <c r="AD3327" s="52"/>
      <c r="AE3327" s="52"/>
      <c r="AF3327" s="52"/>
      <c r="AG3327" s="52"/>
      <c r="AH3327" s="52"/>
      <c r="AI3327" s="50"/>
      <c r="AL3327" s="50"/>
      <c r="AM3327" s="52"/>
      <c r="AN3327" s="52"/>
    </row>
    <row r="3328" spans="16:40" x14ac:dyDescent="0.2"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2"/>
      <c r="AA3328" s="52"/>
      <c r="AB3328" s="52"/>
      <c r="AC3328" s="52"/>
      <c r="AD3328" s="52"/>
      <c r="AE3328" s="52"/>
      <c r="AF3328" s="52"/>
      <c r="AG3328" s="52"/>
      <c r="AH3328" s="52"/>
      <c r="AI3328" s="50"/>
      <c r="AL3328" s="50"/>
      <c r="AM3328" s="52"/>
      <c r="AN3328" s="52"/>
    </row>
    <row r="3329" spans="16:40" x14ac:dyDescent="0.2">
      <c r="P3329" s="52"/>
      <c r="Q3329" s="52"/>
      <c r="R3329" s="52"/>
      <c r="S3329" s="52"/>
      <c r="T3329" s="52"/>
      <c r="U3329" s="52"/>
      <c r="V3329" s="52"/>
      <c r="W3329" s="52"/>
      <c r="X3329" s="52"/>
      <c r="Y3329" s="52"/>
      <c r="Z3329" s="52"/>
      <c r="AA3329" s="52"/>
      <c r="AB3329" s="52"/>
      <c r="AC3329" s="52"/>
      <c r="AD3329" s="52"/>
      <c r="AE3329" s="52"/>
      <c r="AF3329" s="52"/>
      <c r="AG3329" s="52"/>
      <c r="AH3329" s="52"/>
      <c r="AI3329" s="50"/>
      <c r="AL3329" s="50"/>
      <c r="AM3329" s="52"/>
      <c r="AN3329" s="52"/>
    </row>
    <row r="3330" spans="16:40" x14ac:dyDescent="0.2">
      <c r="P3330" s="52"/>
      <c r="Q3330" s="52"/>
      <c r="R3330" s="52"/>
      <c r="S3330" s="52"/>
      <c r="T3330" s="52"/>
      <c r="U3330" s="52"/>
      <c r="V3330" s="52"/>
      <c r="W3330" s="52"/>
      <c r="X3330" s="52"/>
      <c r="Y3330" s="52"/>
      <c r="Z3330" s="52"/>
      <c r="AA3330" s="52"/>
      <c r="AB3330" s="52"/>
      <c r="AC3330" s="52"/>
      <c r="AD3330" s="52"/>
      <c r="AE3330" s="52"/>
      <c r="AF3330" s="52"/>
      <c r="AG3330" s="52"/>
      <c r="AH3330" s="52"/>
      <c r="AI3330" s="50"/>
      <c r="AL3330" s="50"/>
      <c r="AM3330" s="52"/>
      <c r="AN3330" s="52"/>
    </row>
    <row r="3331" spans="16:40" x14ac:dyDescent="0.2">
      <c r="P3331" s="52"/>
      <c r="Q3331" s="52"/>
      <c r="R3331" s="52"/>
      <c r="S3331" s="52"/>
      <c r="T3331" s="52"/>
      <c r="U3331" s="52"/>
      <c r="V3331" s="52"/>
      <c r="W3331" s="52"/>
      <c r="X3331" s="52"/>
      <c r="Y3331" s="52"/>
      <c r="Z3331" s="52"/>
      <c r="AA3331" s="52"/>
      <c r="AB3331" s="52"/>
      <c r="AC3331" s="52"/>
      <c r="AD3331" s="52"/>
      <c r="AE3331" s="52"/>
      <c r="AF3331" s="52"/>
      <c r="AG3331" s="52"/>
      <c r="AH3331" s="52"/>
      <c r="AI3331" s="50"/>
      <c r="AL3331" s="50"/>
      <c r="AM3331" s="52"/>
      <c r="AN3331" s="52"/>
    </row>
    <row r="3332" spans="16:40" x14ac:dyDescent="0.2">
      <c r="P3332" s="52"/>
      <c r="Q3332" s="52"/>
      <c r="R3332" s="52"/>
      <c r="S3332" s="52"/>
      <c r="T3332" s="52"/>
      <c r="U3332" s="52"/>
      <c r="V3332" s="52"/>
      <c r="W3332" s="52"/>
      <c r="X3332" s="52"/>
      <c r="Y3332" s="52"/>
      <c r="Z3332" s="52"/>
      <c r="AA3332" s="52"/>
      <c r="AB3332" s="52"/>
      <c r="AC3332" s="52"/>
      <c r="AD3332" s="52"/>
      <c r="AE3332" s="52"/>
      <c r="AF3332" s="52"/>
      <c r="AG3332" s="52"/>
      <c r="AH3332" s="52"/>
      <c r="AI3332" s="50"/>
      <c r="AL3332" s="50"/>
      <c r="AM3332" s="52"/>
      <c r="AN3332" s="52"/>
    </row>
    <row r="3333" spans="16:40" x14ac:dyDescent="0.2">
      <c r="P3333" s="52"/>
      <c r="Q3333" s="52"/>
      <c r="R3333" s="52"/>
      <c r="S3333" s="52"/>
      <c r="T3333" s="52"/>
      <c r="U3333" s="52"/>
      <c r="V3333" s="52"/>
      <c r="W3333" s="52"/>
      <c r="X3333" s="52"/>
      <c r="Y3333" s="52"/>
      <c r="Z3333" s="52"/>
      <c r="AA3333" s="52"/>
      <c r="AB3333" s="52"/>
      <c r="AC3333" s="52"/>
      <c r="AD3333" s="52"/>
      <c r="AE3333" s="52"/>
      <c r="AF3333" s="52"/>
      <c r="AG3333" s="52"/>
      <c r="AH3333" s="52"/>
      <c r="AI3333" s="50"/>
      <c r="AL3333" s="50"/>
      <c r="AM3333" s="52"/>
      <c r="AN3333" s="52"/>
    </row>
    <row r="3334" spans="16:40" x14ac:dyDescent="0.2">
      <c r="P3334" s="52"/>
      <c r="Q3334" s="52"/>
      <c r="R3334" s="52"/>
      <c r="S3334" s="52"/>
      <c r="T3334" s="52"/>
      <c r="U3334" s="52"/>
      <c r="V3334" s="52"/>
      <c r="W3334" s="52"/>
      <c r="X3334" s="52"/>
      <c r="Y3334" s="52"/>
      <c r="Z3334" s="52"/>
      <c r="AA3334" s="52"/>
      <c r="AB3334" s="52"/>
      <c r="AC3334" s="52"/>
      <c r="AD3334" s="52"/>
      <c r="AE3334" s="52"/>
      <c r="AF3334" s="52"/>
      <c r="AG3334" s="52"/>
      <c r="AH3334" s="52"/>
      <c r="AI3334" s="50"/>
      <c r="AL3334" s="50"/>
      <c r="AM3334" s="52"/>
      <c r="AN3334" s="52"/>
    </row>
    <row r="3335" spans="16:40" x14ac:dyDescent="0.2">
      <c r="P3335" s="52"/>
      <c r="Q3335" s="52"/>
      <c r="R3335" s="52"/>
      <c r="S3335" s="52"/>
      <c r="T3335" s="52"/>
      <c r="U3335" s="52"/>
      <c r="V3335" s="52"/>
      <c r="W3335" s="52"/>
      <c r="X3335" s="52"/>
      <c r="Y3335" s="52"/>
      <c r="Z3335" s="52"/>
      <c r="AA3335" s="52"/>
      <c r="AB3335" s="52"/>
      <c r="AC3335" s="52"/>
      <c r="AD3335" s="52"/>
      <c r="AE3335" s="52"/>
      <c r="AF3335" s="52"/>
      <c r="AG3335" s="52"/>
      <c r="AH3335" s="52"/>
      <c r="AI3335" s="50"/>
      <c r="AL3335" s="50"/>
      <c r="AM3335" s="52"/>
      <c r="AN3335" s="52"/>
    </row>
    <row r="3336" spans="16:40" x14ac:dyDescent="0.2">
      <c r="P3336" s="52"/>
      <c r="Q3336" s="52"/>
      <c r="R3336" s="52"/>
      <c r="S3336" s="52"/>
      <c r="T3336" s="52"/>
      <c r="U3336" s="52"/>
      <c r="V3336" s="52"/>
      <c r="W3336" s="52"/>
      <c r="X3336" s="52"/>
      <c r="Y3336" s="52"/>
      <c r="Z3336" s="52"/>
      <c r="AA3336" s="52"/>
      <c r="AB3336" s="52"/>
      <c r="AC3336" s="52"/>
      <c r="AD3336" s="52"/>
      <c r="AE3336" s="52"/>
      <c r="AF3336" s="52"/>
      <c r="AG3336" s="52"/>
      <c r="AH3336" s="52"/>
      <c r="AI3336" s="50"/>
      <c r="AL3336" s="50"/>
      <c r="AM3336" s="52"/>
      <c r="AN3336" s="52"/>
    </row>
    <row r="3337" spans="16:40" x14ac:dyDescent="0.2">
      <c r="P3337" s="52"/>
      <c r="Q3337" s="52"/>
      <c r="R3337" s="52"/>
      <c r="S3337" s="52"/>
      <c r="T3337" s="52"/>
      <c r="U3337" s="52"/>
      <c r="V3337" s="52"/>
      <c r="W3337" s="52"/>
      <c r="X3337" s="52"/>
      <c r="Y3337" s="52"/>
      <c r="Z3337" s="52"/>
      <c r="AA3337" s="52"/>
      <c r="AB3337" s="52"/>
      <c r="AC3337" s="52"/>
      <c r="AD3337" s="52"/>
      <c r="AE3337" s="52"/>
      <c r="AF3337" s="52"/>
      <c r="AG3337" s="52"/>
      <c r="AH3337" s="52"/>
      <c r="AI3337" s="50"/>
      <c r="AL3337" s="50"/>
      <c r="AM3337" s="52"/>
      <c r="AN3337" s="52"/>
    </row>
    <row r="3338" spans="16:40" x14ac:dyDescent="0.2">
      <c r="P3338" s="52"/>
      <c r="Q3338" s="52"/>
      <c r="R3338" s="52"/>
      <c r="S3338" s="52"/>
      <c r="T3338" s="52"/>
      <c r="U3338" s="52"/>
      <c r="V3338" s="52"/>
      <c r="W3338" s="52"/>
      <c r="X3338" s="52"/>
      <c r="Y3338" s="52"/>
      <c r="Z3338" s="52"/>
      <c r="AA3338" s="52"/>
      <c r="AB3338" s="52"/>
      <c r="AC3338" s="52"/>
      <c r="AD3338" s="52"/>
      <c r="AE3338" s="52"/>
      <c r="AF3338" s="52"/>
      <c r="AG3338" s="52"/>
      <c r="AH3338" s="52"/>
      <c r="AI3338" s="50"/>
      <c r="AL3338" s="50"/>
      <c r="AM3338" s="52"/>
      <c r="AN3338" s="52"/>
    </row>
    <row r="3339" spans="16:40" x14ac:dyDescent="0.2">
      <c r="P3339" s="52"/>
      <c r="Q3339" s="52"/>
      <c r="R3339" s="52"/>
      <c r="S3339" s="52"/>
      <c r="T3339" s="52"/>
      <c r="U3339" s="52"/>
      <c r="V3339" s="52"/>
      <c r="W3339" s="52"/>
      <c r="X3339" s="52"/>
      <c r="Y3339" s="52"/>
      <c r="Z3339" s="52"/>
      <c r="AA3339" s="52"/>
      <c r="AB3339" s="52"/>
      <c r="AC3339" s="52"/>
      <c r="AD3339" s="52"/>
      <c r="AE3339" s="52"/>
      <c r="AF3339" s="52"/>
      <c r="AG3339" s="52"/>
      <c r="AH3339" s="52"/>
      <c r="AI3339" s="50"/>
      <c r="AL3339" s="50"/>
      <c r="AM3339" s="52"/>
      <c r="AN3339" s="52"/>
    </row>
    <row r="3340" spans="16:40" x14ac:dyDescent="0.2">
      <c r="P3340" s="52"/>
      <c r="Q3340" s="52"/>
      <c r="R3340" s="52"/>
      <c r="S3340" s="52"/>
      <c r="T3340" s="52"/>
      <c r="U3340" s="52"/>
      <c r="V3340" s="52"/>
      <c r="W3340" s="52"/>
      <c r="X3340" s="52"/>
      <c r="Y3340" s="52"/>
      <c r="Z3340" s="52"/>
      <c r="AA3340" s="52"/>
      <c r="AB3340" s="52"/>
      <c r="AC3340" s="52"/>
      <c r="AD3340" s="52"/>
      <c r="AE3340" s="52"/>
      <c r="AF3340" s="52"/>
      <c r="AG3340" s="52"/>
      <c r="AH3340" s="52"/>
      <c r="AI3340" s="50"/>
      <c r="AL3340" s="50"/>
      <c r="AM3340" s="52"/>
      <c r="AN3340" s="52"/>
    </row>
    <row r="3341" spans="16:40" x14ac:dyDescent="0.2">
      <c r="P3341" s="52"/>
      <c r="Q3341" s="52"/>
      <c r="R3341" s="52"/>
      <c r="S3341" s="52"/>
      <c r="T3341" s="52"/>
      <c r="U3341" s="52"/>
      <c r="V3341" s="52"/>
      <c r="W3341" s="52"/>
      <c r="X3341" s="52"/>
      <c r="Y3341" s="52"/>
      <c r="Z3341" s="52"/>
      <c r="AA3341" s="52"/>
      <c r="AB3341" s="52"/>
      <c r="AC3341" s="52"/>
      <c r="AD3341" s="52"/>
      <c r="AE3341" s="52"/>
      <c r="AF3341" s="52"/>
      <c r="AG3341" s="52"/>
      <c r="AH3341" s="52"/>
      <c r="AI3341" s="50"/>
      <c r="AL3341" s="50"/>
      <c r="AM3341" s="52"/>
      <c r="AN3341" s="52"/>
    </row>
    <row r="3342" spans="16:40" x14ac:dyDescent="0.2">
      <c r="P3342" s="52"/>
      <c r="Q3342" s="52"/>
      <c r="R3342" s="52"/>
      <c r="S3342" s="52"/>
      <c r="T3342" s="52"/>
      <c r="U3342" s="52"/>
      <c r="V3342" s="52"/>
      <c r="W3342" s="52"/>
      <c r="X3342" s="52"/>
      <c r="Y3342" s="52"/>
      <c r="Z3342" s="52"/>
      <c r="AA3342" s="52"/>
      <c r="AB3342" s="52"/>
      <c r="AC3342" s="52"/>
      <c r="AD3342" s="52"/>
      <c r="AE3342" s="52"/>
      <c r="AF3342" s="52"/>
      <c r="AG3342" s="52"/>
      <c r="AH3342" s="52"/>
      <c r="AI3342" s="50"/>
      <c r="AL3342" s="50"/>
      <c r="AM3342" s="52"/>
      <c r="AN3342" s="52"/>
    </row>
    <row r="3343" spans="16:40" x14ac:dyDescent="0.2">
      <c r="P3343" s="52"/>
      <c r="Q3343" s="52"/>
      <c r="R3343" s="52"/>
      <c r="S3343" s="52"/>
      <c r="T3343" s="52"/>
      <c r="U3343" s="52"/>
      <c r="V3343" s="52"/>
      <c r="W3343" s="52"/>
      <c r="X3343" s="52"/>
      <c r="Y3343" s="52"/>
      <c r="Z3343" s="52"/>
      <c r="AA3343" s="52"/>
      <c r="AB3343" s="52"/>
      <c r="AC3343" s="52"/>
      <c r="AD3343" s="52"/>
      <c r="AE3343" s="52"/>
      <c r="AF3343" s="52"/>
      <c r="AG3343" s="52"/>
      <c r="AH3343" s="52"/>
      <c r="AI3343" s="50"/>
      <c r="AL3343" s="50"/>
      <c r="AM3343" s="52"/>
      <c r="AN3343" s="52"/>
    </row>
    <row r="3344" spans="16:40" x14ac:dyDescent="0.2">
      <c r="P3344" s="52"/>
      <c r="Q3344" s="52"/>
      <c r="R3344" s="52"/>
      <c r="S3344" s="52"/>
      <c r="T3344" s="52"/>
      <c r="U3344" s="52"/>
      <c r="V3344" s="52"/>
      <c r="W3344" s="52"/>
      <c r="X3344" s="52"/>
      <c r="Y3344" s="52"/>
      <c r="Z3344" s="52"/>
      <c r="AA3344" s="52"/>
      <c r="AB3344" s="52"/>
      <c r="AC3344" s="52"/>
      <c r="AD3344" s="52"/>
      <c r="AE3344" s="52"/>
      <c r="AF3344" s="52"/>
      <c r="AG3344" s="52"/>
      <c r="AH3344" s="52"/>
      <c r="AI3344" s="50"/>
      <c r="AL3344" s="50"/>
      <c r="AM3344" s="52"/>
      <c r="AN3344" s="52"/>
    </row>
    <row r="3345" spans="16:40" x14ac:dyDescent="0.2">
      <c r="P3345" s="52"/>
      <c r="Q3345" s="52"/>
      <c r="R3345" s="52"/>
      <c r="S3345" s="52"/>
      <c r="T3345" s="52"/>
      <c r="U3345" s="52"/>
      <c r="V3345" s="52"/>
      <c r="W3345" s="52"/>
      <c r="X3345" s="52"/>
      <c r="Y3345" s="52"/>
      <c r="Z3345" s="52"/>
      <c r="AA3345" s="52"/>
      <c r="AB3345" s="52"/>
      <c r="AC3345" s="52"/>
      <c r="AD3345" s="52"/>
      <c r="AE3345" s="52"/>
      <c r="AF3345" s="52"/>
      <c r="AG3345" s="52"/>
      <c r="AH3345" s="52"/>
      <c r="AI3345" s="50"/>
      <c r="AL3345" s="50"/>
      <c r="AM3345" s="52"/>
      <c r="AN3345" s="52"/>
    </row>
    <row r="3346" spans="16:40" x14ac:dyDescent="0.2">
      <c r="P3346" s="52"/>
      <c r="Q3346" s="52"/>
      <c r="R3346" s="52"/>
      <c r="S3346" s="52"/>
      <c r="T3346" s="52"/>
      <c r="U3346" s="52"/>
      <c r="V3346" s="52"/>
      <c r="W3346" s="52"/>
      <c r="X3346" s="52"/>
      <c r="Y3346" s="52"/>
      <c r="Z3346" s="52"/>
      <c r="AA3346" s="52"/>
      <c r="AB3346" s="52"/>
      <c r="AC3346" s="52"/>
      <c r="AD3346" s="52"/>
      <c r="AE3346" s="52"/>
      <c r="AF3346" s="52"/>
      <c r="AG3346" s="52"/>
      <c r="AH3346" s="52"/>
      <c r="AI3346" s="50"/>
      <c r="AL3346" s="50"/>
      <c r="AM3346" s="52"/>
      <c r="AN3346" s="52"/>
    </row>
    <row r="3347" spans="16:40" x14ac:dyDescent="0.2">
      <c r="P3347" s="52"/>
      <c r="Q3347" s="52"/>
      <c r="R3347" s="52"/>
      <c r="S3347" s="52"/>
      <c r="T3347" s="52"/>
      <c r="U3347" s="52"/>
      <c r="V3347" s="52"/>
      <c r="W3347" s="52"/>
      <c r="X3347" s="52"/>
      <c r="Y3347" s="52"/>
      <c r="Z3347" s="52"/>
      <c r="AA3347" s="52"/>
      <c r="AB3347" s="52"/>
      <c r="AC3347" s="52"/>
      <c r="AD3347" s="52"/>
      <c r="AE3347" s="52"/>
      <c r="AF3347" s="52"/>
      <c r="AG3347" s="52"/>
      <c r="AH3347" s="52"/>
      <c r="AI3347" s="50"/>
      <c r="AL3347" s="50"/>
      <c r="AM3347" s="52"/>
      <c r="AN3347" s="52"/>
    </row>
    <row r="3348" spans="16:40" x14ac:dyDescent="0.2">
      <c r="P3348" s="52"/>
      <c r="Q3348" s="52"/>
      <c r="R3348" s="52"/>
      <c r="S3348" s="52"/>
      <c r="T3348" s="52"/>
      <c r="U3348" s="52"/>
      <c r="V3348" s="52"/>
      <c r="W3348" s="52"/>
      <c r="X3348" s="52"/>
      <c r="Y3348" s="52"/>
      <c r="Z3348" s="52"/>
      <c r="AA3348" s="52"/>
      <c r="AB3348" s="52"/>
      <c r="AC3348" s="52"/>
      <c r="AD3348" s="52"/>
      <c r="AE3348" s="52"/>
      <c r="AF3348" s="52"/>
      <c r="AG3348" s="52"/>
      <c r="AH3348" s="52"/>
      <c r="AI3348" s="50"/>
      <c r="AL3348" s="50"/>
      <c r="AM3348" s="52"/>
      <c r="AN3348" s="52"/>
    </row>
    <row r="3349" spans="16:40" x14ac:dyDescent="0.2">
      <c r="P3349" s="52"/>
      <c r="Q3349" s="52"/>
      <c r="R3349" s="52"/>
      <c r="S3349" s="52"/>
      <c r="T3349" s="52"/>
      <c r="U3349" s="52"/>
      <c r="V3349" s="52"/>
      <c r="W3349" s="52"/>
      <c r="X3349" s="52"/>
      <c r="Y3349" s="52"/>
      <c r="Z3349" s="52"/>
      <c r="AA3349" s="52"/>
      <c r="AB3349" s="52"/>
      <c r="AC3349" s="52"/>
      <c r="AD3349" s="52"/>
      <c r="AE3349" s="52"/>
      <c r="AF3349" s="52"/>
      <c r="AG3349" s="52"/>
      <c r="AH3349" s="52"/>
      <c r="AI3349" s="50"/>
      <c r="AL3349" s="50"/>
      <c r="AM3349" s="52"/>
      <c r="AN3349" s="52"/>
    </row>
    <row r="3350" spans="16:40" x14ac:dyDescent="0.2">
      <c r="P3350" s="52"/>
      <c r="Q3350" s="52"/>
      <c r="R3350" s="52"/>
      <c r="S3350" s="52"/>
      <c r="T3350" s="52"/>
      <c r="U3350" s="52"/>
      <c r="V3350" s="52"/>
      <c r="W3350" s="52"/>
      <c r="X3350" s="52"/>
      <c r="Y3350" s="52"/>
      <c r="Z3350" s="52"/>
      <c r="AA3350" s="52"/>
      <c r="AB3350" s="52"/>
      <c r="AC3350" s="52"/>
      <c r="AD3350" s="52"/>
      <c r="AE3350" s="52"/>
      <c r="AF3350" s="52"/>
      <c r="AG3350" s="52"/>
      <c r="AH3350" s="52"/>
      <c r="AI3350" s="50"/>
      <c r="AL3350" s="50"/>
      <c r="AM3350" s="52"/>
      <c r="AN3350" s="52"/>
    </row>
    <row r="3351" spans="16:40" x14ac:dyDescent="0.2">
      <c r="P3351" s="52"/>
      <c r="Q3351" s="52"/>
      <c r="R3351" s="52"/>
      <c r="S3351" s="52"/>
      <c r="T3351" s="52"/>
      <c r="U3351" s="52"/>
      <c r="V3351" s="52"/>
      <c r="W3351" s="52"/>
      <c r="X3351" s="52"/>
      <c r="Y3351" s="52"/>
      <c r="Z3351" s="52"/>
      <c r="AA3351" s="52"/>
      <c r="AB3351" s="52"/>
      <c r="AC3351" s="52"/>
      <c r="AD3351" s="52"/>
      <c r="AE3351" s="52"/>
      <c r="AF3351" s="52"/>
      <c r="AG3351" s="52"/>
      <c r="AH3351" s="52"/>
      <c r="AI3351" s="50"/>
      <c r="AL3351" s="50"/>
      <c r="AM3351" s="52"/>
      <c r="AN3351" s="52"/>
    </row>
    <row r="3352" spans="16:40" x14ac:dyDescent="0.2">
      <c r="P3352" s="52"/>
      <c r="Q3352" s="52"/>
      <c r="R3352" s="52"/>
      <c r="S3352" s="52"/>
      <c r="T3352" s="52"/>
      <c r="U3352" s="52"/>
      <c r="V3352" s="52"/>
      <c r="W3352" s="52"/>
      <c r="X3352" s="52"/>
      <c r="Y3352" s="52"/>
      <c r="Z3352" s="52"/>
      <c r="AA3352" s="52"/>
      <c r="AB3352" s="52"/>
      <c r="AC3352" s="52"/>
      <c r="AD3352" s="52"/>
      <c r="AE3352" s="52"/>
      <c r="AF3352" s="52"/>
      <c r="AG3352" s="52"/>
      <c r="AH3352" s="52"/>
      <c r="AI3352" s="50"/>
      <c r="AL3352" s="50"/>
      <c r="AM3352" s="52"/>
      <c r="AN3352" s="52"/>
    </row>
    <row r="3353" spans="16:40" x14ac:dyDescent="0.2">
      <c r="P3353" s="52"/>
      <c r="Q3353" s="52"/>
      <c r="R3353" s="52"/>
      <c r="S3353" s="52"/>
      <c r="T3353" s="52"/>
      <c r="U3353" s="52"/>
      <c r="V3353" s="52"/>
      <c r="W3353" s="52"/>
      <c r="X3353" s="52"/>
      <c r="Y3353" s="52"/>
      <c r="Z3353" s="52"/>
      <c r="AA3353" s="52"/>
      <c r="AB3353" s="52"/>
      <c r="AC3353" s="52"/>
      <c r="AD3353" s="52"/>
      <c r="AE3353" s="52"/>
      <c r="AF3353" s="52"/>
      <c r="AG3353" s="52"/>
      <c r="AH3353" s="52"/>
      <c r="AI3353" s="50"/>
      <c r="AL3353" s="50"/>
      <c r="AM3353" s="52"/>
      <c r="AN3353" s="52"/>
    </row>
    <row r="3354" spans="16:40" x14ac:dyDescent="0.2">
      <c r="P3354" s="52"/>
      <c r="Q3354" s="52"/>
      <c r="R3354" s="52"/>
      <c r="S3354" s="52"/>
      <c r="T3354" s="52"/>
      <c r="U3354" s="52"/>
      <c r="V3354" s="52"/>
      <c r="W3354" s="52"/>
      <c r="X3354" s="52"/>
      <c r="Y3354" s="52"/>
      <c r="Z3354" s="52"/>
      <c r="AA3354" s="52"/>
      <c r="AB3354" s="52"/>
      <c r="AC3354" s="52"/>
      <c r="AD3354" s="52"/>
      <c r="AE3354" s="52"/>
      <c r="AF3354" s="52"/>
      <c r="AG3354" s="52"/>
      <c r="AH3354" s="52"/>
      <c r="AI3354" s="50"/>
      <c r="AL3354" s="50"/>
      <c r="AM3354" s="52"/>
      <c r="AN3354" s="52"/>
    </row>
    <row r="3355" spans="16:40" x14ac:dyDescent="0.2">
      <c r="P3355" s="52"/>
      <c r="Q3355" s="52"/>
      <c r="R3355" s="52"/>
      <c r="S3355" s="52"/>
      <c r="T3355" s="52"/>
      <c r="U3355" s="52"/>
      <c r="V3355" s="52"/>
      <c r="W3355" s="52"/>
      <c r="X3355" s="52"/>
      <c r="Y3355" s="52"/>
      <c r="Z3355" s="52"/>
      <c r="AA3355" s="52"/>
      <c r="AB3355" s="52"/>
      <c r="AC3355" s="52"/>
      <c r="AD3355" s="52"/>
      <c r="AE3355" s="52"/>
      <c r="AF3355" s="52"/>
      <c r="AG3355" s="52"/>
      <c r="AH3355" s="52"/>
      <c r="AI3355" s="50"/>
      <c r="AL3355" s="50"/>
      <c r="AM3355" s="52"/>
      <c r="AN3355" s="52"/>
    </row>
    <row r="3356" spans="16:40" x14ac:dyDescent="0.2">
      <c r="P3356" s="52"/>
      <c r="Q3356" s="52"/>
      <c r="R3356" s="52"/>
      <c r="S3356" s="52"/>
      <c r="T3356" s="52"/>
      <c r="U3356" s="52"/>
      <c r="V3356" s="52"/>
      <c r="W3356" s="52"/>
      <c r="X3356" s="52"/>
      <c r="Y3356" s="52"/>
      <c r="Z3356" s="52"/>
      <c r="AA3356" s="52"/>
      <c r="AB3356" s="52"/>
      <c r="AC3356" s="52"/>
      <c r="AD3356" s="52"/>
      <c r="AE3356" s="52"/>
      <c r="AF3356" s="52"/>
      <c r="AG3356" s="52"/>
      <c r="AH3356" s="52"/>
      <c r="AI3356" s="50"/>
      <c r="AL3356" s="50"/>
      <c r="AM3356" s="52"/>
      <c r="AN3356" s="52"/>
    </row>
    <row r="3357" spans="16:40" x14ac:dyDescent="0.2">
      <c r="P3357" s="52"/>
      <c r="Q3357" s="52"/>
      <c r="R3357" s="52"/>
      <c r="S3357" s="52"/>
      <c r="T3357" s="52"/>
      <c r="U3357" s="52"/>
      <c r="V3357" s="52"/>
      <c r="W3357" s="52"/>
      <c r="X3357" s="52"/>
      <c r="Y3357" s="52"/>
      <c r="Z3357" s="52"/>
      <c r="AA3357" s="52"/>
      <c r="AB3357" s="52"/>
      <c r="AC3357" s="52"/>
      <c r="AD3357" s="52"/>
      <c r="AE3357" s="52"/>
      <c r="AF3357" s="52"/>
      <c r="AG3357" s="52"/>
      <c r="AH3357" s="52"/>
      <c r="AI3357" s="50"/>
      <c r="AL3357" s="50"/>
      <c r="AM3357" s="52"/>
      <c r="AN3357" s="52"/>
    </row>
    <row r="3358" spans="16:40" x14ac:dyDescent="0.2">
      <c r="P3358" s="52"/>
      <c r="Q3358" s="52"/>
      <c r="R3358" s="52"/>
      <c r="S3358" s="52"/>
      <c r="T3358" s="52"/>
      <c r="U3358" s="52"/>
      <c r="V3358" s="52"/>
      <c r="W3358" s="52"/>
      <c r="X3358" s="52"/>
      <c r="Y3358" s="52"/>
      <c r="Z3358" s="52"/>
      <c r="AA3358" s="52"/>
      <c r="AB3358" s="52"/>
      <c r="AC3358" s="52"/>
      <c r="AD3358" s="52"/>
      <c r="AE3358" s="52"/>
      <c r="AF3358" s="52"/>
      <c r="AG3358" s="52"/>
      <c r="AH3358" s="52"/>
      <c r="AI3358" s="50"/>
      <c r="AL3358" s="50"/>
      <c r="AM3358" s="52"/>
      <c r="AN3358" s="52"/>
    </row>
    <row r="3359" spans="16:40" x14ac:dyDescent="0.2">
      <c r="P3359" s="52"/>
      <c r="Q3359" s="52"/>
      <c r="R3359" s="52"/>
      <c r="S3359" s="52"/>
      <c r="T3359" s="52"/>
      <c r="U3359" s="52"/>
      <c r="V3359" s="52"/>
      <c r="W3359" s="52"/>
      <c r="X3359" s="52"/>
      <c r="Y3359" s="52"/>
      <c r="Z3359" s="52"/>
      <c r="AA3359" s="52"/>
      <c r="AB3359" s="52"/>
      <c r="AC3359" s="52"/>
      <c r="AD3359" s="52"/>
      <c r="AE3359" s="52"/>
      <c r="AF3359" s="52"/>
      <c r="AG3359" s="52"/>
      <c r="AH3359" s="52"/>
      <c r="AI3359" s="50"/>
      <c r="AL3359" s="50"/>
      <c r="AM3359" s="52"/>
      <c r="AN3359" s="52"/>
    </row>
    <row r="3360" spans="16:40" x14ac:dyDescent="0.2">
      <c r="P3360" s="52"/>
      <c r="Q3360" s="52"/>
      <c r="R3360" s="52"/>
      <c r="S3360" s="52"/>
      <c r="T3360" s="52"/>
      <c r="U3360" s="52"/>
      <c r="V3360" s="52"/>
      <c r="W3360" s="52"/>
      <c r="X3360" s="52"/>
      <c r="Y3360" s="52"/>
      <c r="Z3360" s="52"/>
      <c r="AA3360" s="52"/>
      <c r="AB3360" s="52"/>
      <c r="AC3360" s="52"/>
      <c r="AD3360" s="52"/>
      <c r="AE3360" s="52"/>
      <c r="AF3360" s="52"/>
      <c r="AG3360" s="52"/>
      <c r="AH3360" s="52"/>
      <c r="AI3360" s="50"/>
      <c r="AL3360" s="50"/>
      <c r="AM3360" s="52"/>
      <c r="AN3360" s="52"/>
    </row>
    <row r="3361" spans="16:40" x14ac:dyDescent="0.2">
      <c r="P3361" s="52"/>
      <c r="Q3361" s="52"/>
      <c r="R3361" s="52"/>
      <c r="S3361" s="52"/>
      <c r="T3361" s="52"/>
      <c r="U3361" s="52"/>
      <c r="V3361" s="52"/>
      <c r="W3361" s="52"/>
      <c r="X3361" s="52"/>
      <c r="Y3361" s="52"/>
      <c r="Z3361" s="52"/>
      <c r="AA3361" s="52"/>
      <c r="AB3361" s="52"/>
      <c r="AC3361" s="52"/>
      <c r="AD3361" s="52"/>
      <c r="AE3361" s="52"/>
      <c r="AF3361" s="52"/>
      <c r="AG3361" s="52"/>
      <c r="AH3361" s="52"/>
      <c r="AI3361" s="50"/>
      <c r="AL3361" s="50"/>
      <c r="AM3361" s="52"/>
      <c r="AN3361" s="52"/>
    </row>
    <row r="3362" spans="16:40" x14ac:dyDescent="0.2">
      <c r="P3362" s="52"/>
      <c r="Q3362" s="52"/>
      <c r="R3362" s="52"/>
      <c r="S3362" s="52"/>
      <c r="T3362" s="52"/>
      <c r="U3362" s="52"/>
      <c r="V3362" s="52"/>
      <c r="W3362" s="52"/>
      <c r="X3362" s="52"/>
      <c r="Y3362" s="52"/>
      <c r="Z3362" s="52"/>
      <c r="AA3362" s="52"/>
      <c r="AB3362" s="52"/>
      <c r="AC3362" s="52"/>
      <c r="AD3362" s="52"/>
      <c r="AE3362" s="52"/>
      <c r="AF3362" s="52"/>
      <c r="AG3362" s="52"/>
      <c r="AH3362" s="52"/>
      <c r="AI3362" s="50"/>
      <c r="AL3362" s="50"/>
      <c r="AM3362" s="52"/>
      <c r="AN3362" s="52"/>
    </row>
    <row r="3363" spans="16:40" x14ac:dyDescent="0.2">
      <c r="P3363" s="52"/>
      <c r="Q3363" s="52"/>
      <c r="R3363" s="52"/>
      <c r="S3363" s="52"/>
      <c r="T3363" s="52"/>
      <c r="U3363" s="52"/>
      <c r="V3363" s="52"/>
      <c r="W3363" s="52"/>
      <c r="X3363" s="52"/>
      <c r="Y3363" s="52"/>
      <c r="Z3363" s="52"/>
      <c r="AA3363" s="52"/>
      <c r="AB3363" s="52"/>
      <c r="AC3363" s="52"/>
      <c r="AD3363" s="52"/>
      <c r="AE3363" s="52"/>
      <c r="AF3363" s="52"/>
      <c r="AG3363" s="52"/>
      <c r="AH3363" s="52"/>
      <c r="AI3363" s="50"/>
      <c r="AL3363" s="50"/>
      <c r="AM3363" s="52"/>
      <c r="AN3363" s="52"/>
    </row>
    <row r="3364" spans="16:40" x14ac:dyDescent="0.2">
      <c r="P3364" s="52"/>
      <c r="Q3364" s="52"/>
      <c r="R3364" s="52"/>
      <c r="S3364" s="52"/>
      <c r="T3364" s="52"/>
      <c r="U3364" s="52"/>
      <c r="V3364" s="52"/>
      <c r="W3364" s="52"/>
      <c r="X3364" s="52"/>
      <c r="Y3364" s="52"/>
      <c r="Z3364" s="52"/>
      <c r="AA3364" s="52"/>
      <c r="AB3364" s="52"/>
      <c r="AC3364" s="52"/>
      <c r="AD3364" s="52"/>
      <c r="AE3364" s="52"/>
      <c r="AF3364" s="52"/>
      <c r="AG3364" s="52"/>
      <c r="AH3364" s="52"/>
      <c r="AI3364" s="50"/>
      <c r="AL3364" s="50"/>
      <c r="AM3364" s="52"/>
      <c r="AN3364" s="52"/>
    </row>
    <row r="3365" spans="16:40" x14ac:dyDescent="0.2">
      <c r="P3365" s="52"/>
      <c r="Q3365" s="52"/>
      <c r="R3365" s="52"/>
      <c r="S3365" s="52"/>
      <c r="T3365" s="52"/>
      <c r="U3365" s="52"/>
      <c r="V3365" s="52"/>
      <c r="W3365" s="52"/>
      <c r="X3365" s="52"/>
      <c r="Y3365" s="52"/>
      <c r="Z3365" s="52"/>
      <c r="AA3365" s="52"/>
      <c r="AB3365" s="52"/>
      <c r="AC3365" s="52"/>
      <c r="AD3365" s="52"/>
      <c r="AE3365" s="52"/>
      <c r="AF3365" s="52"/>
      <c r="AG3365" s="52"/>
      <c r="AH3365" s="52"/>
      <c r="AI3365" s="50"/>
      <c r="AL3365" s="50"/>
      <c r="AM3365" s="52"/>
      <c r="AN3365" s="52"/>
    </row>
    <row r="3366" spans="16:40" x14ac:dyDescent="0.2"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2"/>
      <c r="AA3366" s="52"/>
      <c r="AB3366" s="52"/>
      <c r="AC3366" s="52"/>
      <c r="AD3366" s="52"/>
      <c r="AE3366" s="52"/>
      <c r="AF3366" s="52"/>
      <c r="AG3366" s="52"/>
      <c r="AH3366" s="52"/>
      <c r="AI3366" s="50"/>
      <c r="AL3366" s="50"/>
      <c r="AM3366" s="52"/>
      <c r="AN3366" s="52"/>
    </row>
    <row r="3367" spans="16:40" x14ac:dyDescent="0.2">
      <c r="P3367" s="52"/>
      <c r="Q3367" s="52"/>
      <c r="R3367" s="52"/>
      <c r="S3367" s="52"/>
      <c r="T3367" s="52"/>
      <c r="U3367" s="52"/>
      <c r="V3367" s="52"/>
      <c r="W3367" s="52"/>
      <c r="X3367" s="52"/>
      <c r="Y3367" s="52"/>
      <c r="Z3367" s="52"/>
      <c r="AA3367" s="52"/>
      <c r="AB3367" s="52"/>
      <c r="AC3367" s="52"/>
      <c r="AD3367" s="52"/>
      <c r="AE3367" s="52"/>
      <c r="AF3367" s="52"/>
      <c r="AG3367" s="52"/>
      <c r="AH3367" s="52"/>
      <c r="AI3367" s="50"/>
      <c r="AL3367" s="50"/>
      <c r="AM3367" s="52"/>
      <c r="AN3367" s="52"/>
    </row>
    <row r="3368" spans="16:40" x14ac:dyDescent="0.2">
      <c r="P3368" s="52"/>
      <c r="Q3368" s="52"/>
      <c r="R3368" s="52"/>
      <c r="S3368" s="52"/>
      <c r="T3368" s="52"/>
      <c r="U3368" s="52"/>
      <c r="V3368" s="52"/>
      <c r="W3368" s="52"/>
      <c r="X3368" s="52"/>
      <c r="Y3368" s="52"/>
      <c r="Z3368" s="52"/>
      <c r="AA3368" s="52"/>
      <c r="AB3368" s="52"/>
      <c r="AC3368" s="52"/>
      <c r="AD3368" s="52"/>
      <c r="AE3368" s="52"/>
      <c r="AF3368" s="52"/>
      <c r="AG3368" s="52"/>
      <c r="AH3368" s="52"/>
      <c r="AI3368" s="50"/>
      <c r="AL3368" s="50"/>
      <c r="AM3368" s="52"/>
      <c r="AN3368" s="52"/>
    </row>
    <row r="3369" spans="16:40" x14ac:dyDescent="0.2">
      <c r="P3369" s="52"/>
      <c r="Q3369" s="52"/>
      <c r="R3369" s="52"/>
      <c r="S3369" s="52"/>
      <c r="T3369" s="52"/>
      <c r="U3369" s="52"/>
      <c r="V3369" s="52"/>
      <c r="W3369" s="52"/>
      <c r="X3369" s="52"/>
      <c r="Y3369" s="52"/>
      <c r="Z3369" s="52"/>
      <c r="AA3369" s="52"/>
      <c r="AB3369" s="52"/>
      <c r="AC3369" s="52"/>
      <c r="AD3369" s="52"/>
      <c r="AE3369" s="52"/>
      <c r="AF3369" s="52"/>
      <c r="AG3369" s="52"/>
      <c r="AH3369" s="52"/>
      <c r="AI3369" s="50"/>
      <c r="AL3369" s="50"/>
      <c r="AM3369" s="52"/>
      <c r="AN3369" s="52"/>
    </row>
    <row r="3370" spans="16:40" x14ac:dyDescent="0.2">
      <c r="P3370" s="52"/>
      <c r="Q3370" s="52"/>
      <c r="R3370" s="52"/>
      <c r="S3370" s="52"/>
      <c r="T3370" s="52"/>
      <c r="U3370" s="52"/>
      <c r="V3370" s="52"/>
      <c r="W3370" s="52"/>
      <c r="X3370" s="52"/>
      <c r="Y3370" s="52"/>
      <c r="Z3370" s="52"/>
      <c r="AA3370" s="52"/>
      <c r="AB3370" s="52"/>
      <c r="AC3370" s="52"/>
      <c r="AD3370" s="52"/>
      <c r="AE3370" s="52"/>
      <c r="AF3370" s="52"/>
      <c r="AG3370" s="52"/>
      <c r="AH3370" s="52"/>
      <c r="AI3370" s="50"/>
      <c r="AL3370" s="50"/>
      <c r="AM3370" s="52"/>
      <c r="AN3370" s="52"/>
    </row>
    <row r="3371" spans="16:40" x14ac:dyDescent="0.2">
      <c r="P3371" s="52"/>
      <c r="Q3371" s="52"/>
      <c r="R3371" s="52"/>
      <c r="S3371" s="52"/>
      <c r="T3371" s="52"/>
      <c r="U3371" s="52"/>
      <c r="V3371" s="52"/>
      <c r="W3371" s="52"/>
      <c r="X3371" s="52"/>
      <c r="Y3371" s="52"/>
      <c r="Z3371" s="52"/>
      <c r="AA3371" s="52"/>
      <c r="AB3371" s="52"/>
      <c r="AC3371" s="52"/>
      <c r="AD3371" s="52"/>
      <c r="AE3371" s="52"/>
      <c r="AF3371" s="52"/>
      <c r="AG3371" s="52"/>
      <c r="AH3371" s="52"/>
      <c r="AI3371" s="50"/>
      <c r="AL3371" s="50"/>
      <c r="AM3371" s="52"/>
      <c r="AN3371" s="52"/>
    </row>
    <row r="3372" spans="16:40" x14ac:dyDescent="0.2">
      <c r="P3372" s="52"/>
      <c r="Q3372" s="52"/>
      <c r="R3372" s="52"/>
      <c r="S3372" s="52"/>
      <c r="T3372" s="52"/>
      <c r="U3372" s="52"/>
      <c r="V3372" s="52"/>
      <c r="W3372" s="52"/>
      <c r="X3372" s="52"/>
      <c r="Y3372" s="52"/>
      <c r="Z3372" s="52"/>
      <c r="AA3372" s="52"/>
      <c r="AB3372" s="52"/>
      <c r="AC3372" s="52"/>
      <c r="AD3372" s="52"/>
      <c r="AE3372" s="52"/>
      <c r="AF3372" s="52"/>
      <c r="AG3372" s="52"/>
      <c r="AH3372" s="52"/>
      <c r="AI3372" s="50"/>
      <c r="AL3372" s="50"/>
      <c r="AM3372" s="52"/>
      <c r="AN3372" s="52"/>
    </row>
    <row r="3373" spans="16:40" x14ac:dyDescent="0.2">
      <c r="P3373" s="52"/>
      <c r="Q3373" s="52"/>
      <c r="R3373" s="52"/>
      <c r="S3373" s="52"/>
      <c r="T3373" s="52"/>
      <c r="U3373" s="52"/>
      <c r="V3373" s="52"/>
      <c r="W3373" s="52"/>
      <c r="X3373" s="52"/>
      <c r="Y3373" s="52"/>
      <c r="Z3373" s="52"/>
      <c r="AA3373" s="52"/>
      <c r="AB3373" s="52"/>
      <c r="AC3373" s="52"/>
      <c r="AD3373" s="52"/>
      <c r="AE3373" s="52"/>
      <c r="AF3373" s="52"/>
      <c r="AG3373" s="52"/>
      <c r="AH3373" s="52"/>
      <c r="AI3373" s="50"/>
      <c r="AL3373" s="50"/>
      <c r="AM3373" s="52"/>
      <c r="AN3373" s="52"/>
    </row>
    <row r="3374" spans="16:40" x14ac:dyDescent="0.2">
      <c r="P3374" s="52"/>
      <c r="Q3374" s="52"/>
      <c r="R3374" s="52"/>
      <c r="S3374" s="52"/>
      <c r="T3374" s="52"/>
      <c r="U3374" s="52"/>
      <c r="V3374" s="52"/>
      <c r="W3374" s="52"/>
      <c r="X3374" s="52"/>
      <c r="Y3374" s="52"/>
      <c r="Z3374" s="52"/>
      <c r="AA3374" s="52"/>
      <c r="AB3374" s="52"/>
      <c r="AC3374" s="52"/>
      <c r="AD3374" s="52"/>
      <c r="AE3374" s="52"/>
      <c r="AF3374" s="52"/>
      <c r="AG3374" s="52"/>
      <c r="AH3374" s="52"/>
      <c r="AI3374" s="50"/>
      <c r="AL3374" s="50"/>
      <c r="AM3374" s="52"/>
      <c r="AN3374" s="52"/>
    </row>
    <row r="3375" spans="16:40" x14ac:dyDescent="0.2">
      <c r="P3375" s="52"/>
      <c r="Q3375" s="52"/>
      <c r="R3375" s="52"/>
      <c r="S3375" s="52"/>
      <c r="T3375" s="52"/>
      <c r="U3375" s="52"/>
      <c r="V3375" s="52"/>
      <c r="W3375" s="52"/>
      <c r="X3375" s="52"/>
      <c r="Y3375" s="52"/>
      <c r="Z3375" s="52"/>
      <c r="AA3375" s="52"/>
      <c r="AB3375" s="52"/>
      <c r="AC3375" s="52"/>
      <c r="AD3375" s="52"/>
      <c r="AE3375" s="52"/>
      <c r="AF3375" s="52"/>
      <c r="AG3375" s="52"/>
      <c r="AH3375" s="52"/>
      <c r="AI3375" s="50"/>
      <c r="AL3375" s="50"/>
      <c r="AM3375" s="52"/>
      <c r="AN3375" s="52"/>
    </row>
    <row r="3376" spans="16:40" x14ac:dyDescent="0.2">
      <c r="P3376" s="52"/>
      <c r="Q3376" s="52"/>
      <c r="R3376" s="52"/>
      <c r="S3376" s="52"/>
      <c r="T3376" s="52"/>
      <c r="U3376" s="52"/>
      <c r="V3376" s="52"/>
      <c r="W3376" s="52"/>
      <c r="X3376" s="52"/>
      <c r="Y3376" s="52"/>
      <c r="Z3376" s="52"/>
      <c r="AA3376" s="52"/>
      <c r="AB3376" s="52"/>
      <c r="AC3376" s="52"/>
      <c r="AD3376" s="52"/>
      <c r="AE3376" s="52"/>
      <c r="AF3376" s="52"/>
      <c r="AG3376" s="52"/>
      <c r="AH3376" s="52"/>
      <c r="AI3376" s="50"/>
      <c r="AL3376" s="50"/>
      <c r="AM3376" s="52"/>
      <c r="AN3376" s="52"/>
    </row>
    <row r="3377" spans="16:40" x14ac:dyDescent="0.2">
      <c r="P3377" s="52"/>
      <c r="Q3377" s="52"/>
      <c r="R3377" s="52"/>
      <c r="S3377" s="52"/>
      <c r="T3377" s="52"/>
      <c r="U3377" s="52"/>
      <c r="V3377" s="52"/>
      <c r="W3377" s="52"/>
      <c r="X3377" s="52"/>
      <c r="Y3377" s="52"/>
      <c r="Z3377" s="52"/>
      <c r="AA3377" s="52"/>
      <c r="AB3377" s="52"/>
      <c r="AC3377" s="52"/>
      <c r="AD3377" s="52"/>
      <c r="AE3377" s="52"/>
      <c r="AF3377" s="52"/>
      <c r="AG3377" s="52"/>
      <c r="AH3377" s="52"/>
      <c r="AI3377" s="50"/>
      <c r="AL3377" s="50"/>
      <c r="AM3377" s="52"/>
      <c r="AN3377" s="52"/>
    </row>
    <row r="3378" spans="16:40" x14ac:dyDescent="0.2">
      <c r="P3378" s="52"/>
      <c r="Q3378" s="52"/>
      <c r="R3378" s="52"/>
      <c r="S3378" s="52"/>
      <c r="T3378" s="52"/>
      <c r="U3378" s="52"/>
      <c r="V3378" s="52"/>
      <c r="W3378" s="52"/>
      <c r="X3378" s="52"/>
      <c r="Y3378" s="52"/>
      <c r="Z3378" s="52"/>
      <c r="AA3378" s="52"/>
      <c r="AB3378" s="52"/>
      <c r="AC3378" s="52"/>
      <c r="AD3378" s="52"/>
      <c r="AE3378" s="52"/>
      <c r="AF3378" s="52"/>
      <c r="AG3378" s="52"/>
      <c r="AH3378" s="52"/>
      <c r="AI3378" s="50"/>
      <c r="AL3378" s="50"/>
      <c r="AM3378" s="52"/>
      <c r="AN3378" s="52"/>
    </row>
    <row r="3379" spans="16:40" x14ac:dyDescent="0.2">
      <c r="P3379" s="52"/>
      <c r="Q3379" s="52"/>
      <c r="R3379" s="52"/>
      <c r="S3379" s="52"/>
      <c r="T3379" s="52"/>
      <c r="U3379" s="52"/>
      <c r="V3379" s="52"/>
      <c r="W3379" s="52"/>
      <c r="X3379" s="52"/>
      <c r="Y3379" s="52"/>
      <c r="Z3379" s="52"/>
      <c r="AA3379" s="52"/>
      <c r="AB3379" s="52"/>
      <c r="AC3379" s="52"/>
      <c r="AD3379" s="52"/>
      <c r="AE3379" s="52"/>
      <c r="AF3379" s="52"/>
      <c r="AG3379" s="52"/>
      <c r="AH3379" s="52"/>
      <c r="AI3379" s="50"/>
      <c r="AL3379" s="50"/>
      <c r="AM3379" s="52"/>
      <c r="AN3379" s="52"/>
    </row>
    <row r="3380" spans="16:40" x14ac:dyDescent="0.2">
      <c r="P3380" s="52"/>
      <c r="Q3380" s="52"/>
      <c r="R3380" s="52"/>
      <c r="S3380" s="52"/>
      <c r="T3380" s="52"/>
      <c r="U3380" s="52"/>
      <c r="V3380" s="52"/>
      <c r="W3380" s="52"/>
      <c r="X3380" s="52"/>
      <c r="Y3380" s="52"/>
      <c r="Z3380" s="52"/>
      <c r="AA3380" s="52"/>
      <c r="AB3380" s="52"/>
      <c r="AC3380" s="52"/>
      <c r="AD3380" s="52"/>
      <c r="AE3380" s="52"/>
      <c r="AF3380" s="52"/>
      <c r="AG3380" s="52"/>
      <c r="AH3380" s="52"/>
      <c r="AI3380" s="50"/>
      <c r="AL3380" s="50"/>
      <c r="AM3380" s="52"/>
      <c r="AN3380" s="52"/>
    </row>
    <row r="3381" spans="16:40" x14ac:dyDescent="0.2">
      <c r="P3381" s="52"/>
      <c r="Q3381" s="52"/>
      <c r="R3381" s="52"/>
      <c r="S3381" s="52"/>
      <c r="T3381" s="52"/>
      <c r="U3381" s="52"/>
      <c r="V3381" s="52"/>
      <c r="W3381" s="52"/>
      <c r="X3381" s="52"/>
      <c r="Y3381" s="52"/>
      <c r="Z3381" s="52"/>
      <c r="AA3381" s="52"/>
      <c r="AB3381" s="52"/>
      <c r="AC3381" s="52"/>
      <c r="AD3381" s="52"/>
      <c r="AE3381" s="52"/>
      <c r="AF3381" s="52"/>
      <c r="AG3381" s="52"/>
      <c r="AH3381" s="52"/>
      <c r="AI3381" s="50"/>
      <c r="AL3381" s="50"/>
      <c r="AM3381" s="52"/>
      <c r="AN3381" s="52"/>
    </row>
    <row r="3382" spans="16:40" x14ac:dyDescent="0.2">
      <c r="P3382" s="52"/>
      <c r="Q3382" s="52"/>
      <c r="R3382" s="52"/>
      <c r="S3382" s="52"/>
      <c r="T3382" s="52"/>
      <c r="U3382" s="52"/>
      <c r="V3382" s="52"/>
      <c r="W3382" s="52"/>
      <c r="X3382" s="52"/>
      <c r="Y3382" s="52"/>
      <c r="Z3382" s="52"/>
      <c r="AA3382" s="52"/>
      <c r="AB3382" s="52"/>
      <c r="AC3382" s="52"/>
      <c r="AD3382" s="52"/>
      <c r="AE3382" s="52"/>
      <c r="AF3382" s="52"/>
      <c r="AG3382" s="52"/>
      <c r="AH3382" s="52"/>
      <c r="AI3382" s="50"/>
      <c r="AL3382" s="50"/>
      <c r="AM3382" s="52"/>
      <c r="AN3382" s="52"/>
    </row>
    <row r="3383" spans="16:40" x14ac:dyDescent="0.2">
      <c r="P3383" s="52"/>
      <c r="Q3383" s="52"/>
      <c r="R3383" s="52"/>
      <c r="S3383" s="52"/>
      <c r="T3383" s="52"/>
      <c r="U3383" s="52"/>
      <c r="V3383" s="52"/>
      <c r="W3383" s="52"/>
      <c r="X3383" s="52"/>
      <c r="Y3383" s="52"/>
      <c r="Z3383" s="52"/>
      <c r="AA3383" s="52"/>
      <c r="AB3383" s="52"/>
      <c r="AC3383" s="52"/>
      <c r="AD3383" s="52"/>
      <c r="AE3383" s="52"/>
      <c r="AF3383" s="52"/>
      <c r="AG3383" s="52"/>
      <c r="AH3383" s="52"/>
      <c r="AI3383" s="50"/>
      <c r="AL3383" s="50"/>
      <c r="AM3383" s="52"/>
      <c r="AN3383" s="52"/>
    </row>
    <row r="3384" spans="16:40" x14ac:dyDescent="0.2">
      <c r="P3384" s="52"/>
      <c r="Q3384" s="52"/>
      <c r="R3384" s="52"/>
      <c r="S3384" s="52"/>
      <c r="T3384" s="52"/>
      <c r="U3384" s="52"/>
      <c r="V3384" s="52"/>
      <c r="W3384" s="52"/>
      <c r="X3384" s="52"/>
      <c r="Y3384" s="52"/>
      <c r="Z3384" s="52"/>
      <c r="AA3384" s="52"/>
      <c r="AB3384" s="52"/>
      <c r="AC3384" s="52"/>
      <c r="AD3384" s="52"/>
      <c r="AE3384" s="52"/>
      <c r="AF3384" s="52"/>
      <c r="AG3384" s="52"/>
      <c r="AH3384" s="52"/>
      <c r="AI3384" s="50"/>
      <c r="AL3384" s="50"/>
      <c r="AM3384" s="52"/>
      <c r="AN3384" s="52"/>
    </row>
    <row r="3385" spans="16:40" x14ac:dyDescent="0.2">
      <c r="P3385" s="52"/>
      <c r="Q3385" s="52"/>
      <c r="R3385" s="52"/>
      <c r="S3385" s="52"/>
      <c r="T3385" s="52"/>
      <c r="U3385" s="52"/>
      <c r="V3385" s="52"/>
      <c r="W3385" s="52"/>
      <c r="X3385" s="52"/>
      <c r="Y3385" s="52"/>
      <c r="Z3385" s="52"/>
      <c r="AA3385" s="52"/>
      <c r="AB3385" s="52"/>
      <c r="AC3385" s="52"/>
      <c r="AD3385" s="52"/>
      <c r="AE3385" s="52"/>
      <c r="AF3385" s="52"/>
      <c r="AG3385" s="52"/>
      <c r="AH3385" s="52"/>
      <c r="AI3385" s="50"/>
      <c r="AL3385" s="50"/>
      <c r="AM3385" s="52"/>
      <c r="AN3385" s="52"/>
    </row>
    <row r="3386" spans="16:40" x14ac:dyDescent="0.2">
      <c r="P3386" s="52"/>
      <c r="Q3386" s="52"/>
      <c r="R3386" s="52"/>
      <c r="S3386" s="52"/>
      <c r="T3386" s="52"/>
      <c r="U3386" s="52"/>
      <c r="V3386" s="52"/>
      <c r="W3386" s="52"/>
      <c r="X3386" s="52"/>
      <c r="Y3386" s="52"/>
      <c r="Z3386" s="52"/>
      <c r="AA3386" s="52"/>
      <c r="AB3386" s="52"/>
      <c r="AC3386" s="52"/>
      <c r="AD3386" s="52"/>
      <c r="AE3386" s="52"/>
      <c r="AF3386" s="52"/>
      <c r="AG3386" s="52"/>
      <c r="AH3386" s="52"/>
      <c r="AI3386" s="50"/>
      <c r="AL3386" s="50"/>
      <c r="AM3386" s="52"/>
      <c r="AN3386" s="52"/>
    </row>
    <row r="3387" spans="16:40" x14ac:dyDescent="0.2">
      <c r="P3387" s="52"/>
      <c r="Q3387" s="52"/>
      <c r="R3387" s="52"/>
      <c r="S3387" s="52"/>
      <c r="T3387" s="52"/>
      <c r="U3387" s="52"/>
      <c r="V3387" s="52"/>
      <c r="W3387" s="52"/>
      <c r="X3387" s="52"/>
      <c r="Y3387" s="52"/>
      <c r="Z3387" s="52"/>
      <c r="AA3387" s="52"/>
      <c r="AB3387" s="52"/>
      <c r="AC3387" s="52"/>
      <c r="AD3387" s="52"/>
      <c r="AE3387" s="52"/>
      <c r="AF3387" s="52"/>
      <c r="AG3387" s="52"/>
      <c r="AH3387" s="52"/>
      <c r="AI3387" s="50"/>
      <c r="AL3387" s="50"/>
      <c r="AM3387" s="52"/>
      <c r="AN3387" s="52"/>
    </row>
    <row r="3388" spans="16:40" x14ac:dyDescent="0.2">
      <c r="P3388" s="52"/>
      <c r="Q3388" s="52"/>
      <c r="R3388" s="52"/>
      <c r="S3388" s="52"/>
      <c r="T3388" s="52"/>
      <c r="U3388" s="52"/>
      <c r="V3388" s="52"/>
      <c r="W3388" s="52"/>
      <c r="X3388" s="52"/>
      <c r="Y3388" s="52"/>
      <c r="Z3388" s="52"/>
      <c r="AA3388" s="52"/>
      <c r="AB3388" s="52"/>
      <c r="AC3388" s="52"/>
      <c r="AD3388" s="52"/>
      <c r="AE3388" s="52"/>
      <c r="AF3388" s="52"/>
      <c r="AG3388" s="52"/>
      <c r="AH3388" s="52"/>
      <c r="AI3388" s="50"/>
      <c r="AL3388" s="50"/>
      <c r="AM3388" s="52"/>
      <c r="AN3388" s="52"/>
    </row>
    <row r="3389" spans="16:40" x14ac:dyDescent="0.2">
      <c r="P3389" s="52"/>
      <c r="Q3389" s="52"/>
      <c r="R3389" s="52"/>
      <c r="S3389" s="52"/>
      <c r="T3389" s="52"/>
      <c r="U3389" s="52"/>
      <c r="V3389" s="52"/>
      <c r="W3389" s="52"/>
      <c r="X3389" s="52"/>
      <c r="Y3389" s="52"/>
      <c r="Z3389" s="52"/>
      <c r="AA3389" s="52"/>
      <c r="AB3389" s="52"/>
      <c r="AC3389" s="52"/>
      <c r="AD3389" s="52"/>
      <c r="AE3389" s="52"/>
      <c r="AF3389" s="52"/>
      <c r="AG3389" s="52"/>
      <c r="AH3389" s="52"/>
      <c r="AI3389" s="50"/>
      <c r="AL3389" s="50"/>
      <c r="AM3389" s="52"/>
      <c r="AN3389" s="52"/>
    </row>
    <row r="3390" spans="16:40" x14ac:dyDescent="0.2">
      <c r="P3390" s="52"/>
      <c r="Q3390" s="52"/>
      <c r="R3390" s="52"/>
      <c r="S3390" s="52"/>
      <c r="T3390" s="52"/>
      <c r="U3390" s="52"/>
      <c r="V3390" s="52"/>
      <c r="W3390" s="52"/>
      <c r="X3390" s="52"/>
      <c r="Y3390" s="52"/>
      <c r="Z3390" s="52"/>
      <c r="AA3390" s="52"/>
      <c r="AB3390" s="52"/>
      <c r="AC3390" s="52"/>
      <c r="AD3390" s="52"/>
      <c r="AE3390" s="52"/>
      <c r="AF3390" s="52"/>
      <c r="AG3390" s="52"/>
      <c r="AH3390" s="52"/>
      <c r="AI3390" s="50"/>
      <c r="AL3390" s="50"/>
      <c r="AM3390" s="52"/>
      <c r="AN3390" s="52"/>
    </row>
    <row r="3391" spans="16:40" x14ac:dyDescent="0.2">
      <c r="P3391" s="52"/>
      <c r="Q3391" s="52"/>
      <c r="R3391" s="52"/>
      <c r="S3391" s="52"/>
      <c r="T3391" s="52"/>
      <c r="U3391" s="52"/>
      <c r="V3391" s="52"/>
      <c r="W3391" s="52"/>
      <c r="X3391" s="52"/>
      <c r="Y3391" s="52"/>
      <c r="Z3391" s="52"/>
      <c r="AA3391" s="52"/>
      <c r="AB3391" s="52"/>
      <c r="AC3391" s="52"/>
      <c r="AD3391" s="52"/>
      <c r="AE3391" s="52"/>
      <c r="AF3391" s="52"/>
      <c r="AG3391" s="52"/>
      <c r="AH3391" s="52"/>
      <c r="AI3391" s="50"/>
      <c r="AL3391" s="50"/>
      <c r="AM3391" s="52"/>
      <c r="AN3391" s="52"/>
    </row>
    <row r="3392" spans="16:40" x14ac:dyDescent="0.2">
      <c r="P3392" s="52"/>
      <c r="Q3392" s="52"/>
      <c r="R3392" s="52"/>
      <c r="S3392" s="52"/>
      <c r="T3392" s="52"/>
      <c r="U3392" s="52"/>
      <c r="V3392" s="52"/>
      <c r="W3392" s="52"/>
      <c r="X3392" s="52"/>
      <c r="Y3392" s="52"/>
      <c r="Z3392" s="52"/>
      <c r="AA3392" s="52"/>
      <c r="AB3392" s="52"/>
      <c r="AC3392" s="52"/>
      <c r="AD3392" s="52"/>
      <c r="AE3392" s="52"/>
      <c r="AF3392" s="52"/>
      <c r="AG3392" s="52"/>
      <c r="AH3392" s="52"/>
      <c r="AI3392" s="50"/>
      <c r="AL3392" s="50"/>
      <c r="AM3392" s="52"/>
      <c r="AN3392" s="52"/>
    </row>
    <row r="3393" spans="16:40" x14ac:dyDescent="0.2">
      <c r="P3393" s="52"/>
      <c r="Q3393" s="52"/>
      <c r="R3393" s="52"/>
      <c r="S3393" s="52"/>
      <c r="T3393" s="52"/>
      <c r="U3393" s="52"/>
      <c r="V3393" s="52"/>
      <c r="W3393" s="52"/>
      <c r="X3393" s="52"/>
      <c r="Y3393" s="52"/>
      <c r="Z3393" s="52"/>
      <c r="AA3393" s="52"/>
      <c r="AB3393" s="52"/>
      <c r="AC3393" s="52"/>
      <c r="AD3393" s="52"/>
      <c r="AE3393" s="52"/>
      <c r="AF3393" s="52"/>
      <c r="AG3393" s="52"/>
      <c r="AH3393" s="52"/>
      <c r="AI3393" s="50"/>
      <c r="AL3393" s="50"/>
      <c r="AM3393" s="52"/>
      <c r="AN3393" s="52"/>
    </row>
    <row r="3394" spans="16:40" x14ac:dyDescent="0.2">
      <c r="P3394" s="52"/>
      <c r="Q3394" s="52"/>
      <c r="R3394" s="52"/>
      <c r="S3394" s="52"/>
      <c r="T3394" s="52"/>
      <c r="U3394" s="52"/>
      <c r="V3394" s="52"/>
      <c r="W3394" s="52"/>
      <c r="X3394" s="52"/>
      <c r="Y3394" s="52"/>
      <c r="Z3394" s="52"/>
      <c r="AA3394" s="52"/>
      <c r="AB3394" s="52"/>
      <c r="AC3394" s="52"/>
      <c r="AD3394" s="52"/>
      <c r="AE3394" s="52"/>
      <c r="AF3394" s="52"/>
      <c r="AG3394" s="52"/>
      <c r="AH3394" s="52"/>
      <c r="AI3394" s="50"/>
      <c r="AL3394" s="50"/>
      <c r="AM3394" s="52"/>
      <c r="AN3394" s="52"/>
    </row>
    <row r="3395" spans="16:40" x14ac:dyDescent="0.2">
      <c r="P3395" s="52"/>
      <c r="Q3395" s="52"/>
      <c r="R3395" s="52"/>
      <c r="S3395" s="52"/>
      <c r="T3395" s="52"/>
      <c r="U3395" s="52"/>
      <c r="V3395" s="52"/>
      <c r="W3395" s="52"/>
      <c r="X3395" s="52"/>
      <c r="Y3395" s="52"/>
      <c r="Z3395" s="52"/>
      <c r="AA3395" s="52"/>
      <c r="AB3395" s="52"/>
      <c r="AC3395" s="52"/>
      <c r="AD3395" s="52"/>
      <c r="AE3395" s="52"/>
      <c r="AF3395" s="52"/>
      <c r="AG3395" s="52"/>
      <c r="AH3395" s="52"/>
      <c r="AI3395" s="50"/>
      <c r="AL3395" s="50"/>
      <c r="AM3395" s="52"/>
      <c r="AN3395" s="52"/>
    </row>
    <row r="3396" spans="16:40" x14ac:dyDescent="0.2">
      <c r="P3396" s="52"/>
      <c r="Q3396" s="52"/>
      <c r="R3396" s="52"/>
      <c r="S3396" s="52"/>
      <c r="T3396" s="52"/>
      <c r="U3396" s="52"/>
      <c r="V3396" s="52"/>
      <c r="W3396" s="52"/>
      <c r="X3396" s="52"/>
      <c r="Y3396" s="52"/>
      <c r="Z3396" s="52"/>
      <c r="AA3396" s="52"/>
      <c r="AB3396" s="52"/>
      <c r="AC3396" s="52"/>
      <c r="AD3396" s="52"/>
      <c r="AE3396" s="52"/>
      <c r="AF3396" s="52"/>
      <c r="AG3396" s="52"/>
      <c r="AH3396" s="52"/>
      <c r="AI3396" s="50"/>
      <c r="AL3396" s="50"/>
      <c r="AM3396" s="52"/>
      <c r="AN3396" s="52"/>
    </row>
    <row r="3397" spans="16:40" x14ac:dyDescent="0.2">
      <c r="P3397" s="52"/>
      <c r="Q3397" s="52"/>
      <c r="R3397" s="52"/>
      <c r="S3397" s="52"/>
      <c r="T3397" s="52"/>
      <c r="U3397" s="52"/>
      <c r="V3397" s="52"/>
      <c r="W3397" s="52"/>
      <c r="X3397" s="52"/>
      <c r="Y3397" s="52"/>
      <c r="Z3397" s="52"/>
      <c r="AA3397" s="52"/>
      <c r="AB3397" s="52"/>
      <c r="AC3397" s="52"/>
      <c r="AD3397" s="52"/>
      <c r="AE3397" s="52"/>
      <c r="AF3397" s="52"/>
      <c r="AG3397" s="52"/>
      <c r="AH3397" s="52"/>
      <c r="AI3397" s="50"/>
      <c r="AL3397" s="50"/>
      <c r="AM3397" s="52"/>
      <c r="AN3397" s="52"/>
    </row>
    <row r="3398" spans="16:40" x14ac:dyDescent="0.2">
      <c r="P3398" s="52"/>
      <c r="Q3398" s="52"/>
      <c r="R3398" s="52"/>
      <c r="S3398" s="52"/>
      <c r="T3398" s="52"/>
      <c r="U3398" s="52"/>
      <c r="V3398" s="52"/>
      <c r="W3398" s="52"/>
      <c r="X3398" s="52"/>
      <c r="Y3398" s="52"/>
      <c r="Z3398" s="52"/>
      <c r="AA3398" s="52"/>
      <c r="AB3398" s="52"/>
      <c r="AC3398" s="52"/>
      <c r="AD3398" s="52"/>
      <c r="AE3398" s="52"/>
      <c r="AF3398" s="52"/>
      <c r="AG3398" s="52"/>
      <c r="AH3398" s="52"/>
      <c r="AI3398" s="50"/>
      <c r="AL3398" s="50"/>
      <c r="AM3398" s="52"/>
      <c r="AN3398" s="52"/>
    </row>
    <row r="3399" spans="16:40" x14ac:dyDescent="0.2">
      <c r="P3399" s="52"/>
      <c r="Q3399" s="52"/>
      <c r="R3399" s="52"/>
      <c r="S3399" s="52"/>
      <c r="T3399" s="52"/>
      <c r="U3399" s="52"/>
      <c r="V3399" s="52"/>
      <c r="W3399" s="52"/>
      <c r="X3399" s="52"/>
      <c r="Y3399" s="52"/>
      <c r="Z3399" s="52"/>
      <c r="AA3399" s="52"/>
      <c r="AB3399" s="52"/>
      <c r="AC3399" s="52"/>
      <c r="AD3399" s="52"/>
      <c r="AE3399" s="52"/>
      <c r="AF3399" s="52"/>
      <c r="AG3399" s="52"/>
      <c r="AH3399" s="52"/>
      <c r="AI3399" s="50"/>
      <c r="AL3399" s="50"/>
      <c r="AM3399" s="52"/>
      <c r="AN3399" s="52"/>
    </row>
    <row r="3400" spans="16:40" x14ac:dyDescent="0.2">
      <c r="P3400" s="52"/>
      <c r="Q3400" s="52"/>
      <c r="R3400" s="52"/>
      <c r="S3400" s="52"/>
      <c r="T3400" s="52"/>
      <c r="U3400" s="52"/>
      <c r="V3400" s="52"/>
      <c r="W3400" s="52"/>
      <c r="X3400" s="52"/>
      <c r="Y3400" s="52"/>
      <c r="Z3400" s="52"/>
      <c r="AA3400" s="52"/>
      <c r="AB3400" s="52"/>
      <c r="AC3400" s="52"/>
      <c r="AD3400" s="52"/>
      <c r="AE3400" s="52"/>
      <c r="AF3400" s="52"/>
      <c r="AG3400" s="52"/>
      <c r="AH3400" s="52"/>
      <c r="AI3400" s="50"/>
      <c r="AL3400" s="50"/>
      <c r="AM3400" s="52"/>
      <c r="AN3400" s="52"/>
    </row>
    <row r="3401" spans="16:40" x14ac:dyDescent="0.2">
      <c r="P3401" s="52"/>
      <c r="Q3401" s="52"/>
      <c r="R3401" s="52"/>
      <c r="S3401" s="52"/>
      <c r="T3401" s="52"/>
      <c r="U3401" s="52"/>
      <c r="V3401" s="52"/>
      <c r="W3401" s="52"/>
      <c r="X3401" s="52"/>
      <c r="Y3401" s="52"/>
      <c r="Z3401" s="52"/>
      <c r="AA3401" s="52"/>
      <c r="AB3401" s="52"/>
      <c r="AC3401" s="52"/>
      <c r="AD3401" s="52"/>
      <c r="AE3401" s="52"/>
      <c r="AF3401" s="52"/>
      <c r="AG3401" s="52"/>
      <c r="AH3401" s="52"/>
      <c r="AI3401" s="50"/>
      <c r="AL3401" s="50"/>
      <c r="AM3401" s="52"/>
      <c r="AN3401" s="52"/>
    </row>
    <row r="3402" spans="16:40" x14ac:dyDescent="0.2">
      <c r="P3402" s="52"/>
      <c r="Q3402" s="52"/>
      <c r="R3402" s="52"/>
      <c r="S3402" s="52"/>
      <c r="T3402" s="52"/>
      <c r="U3402" s="52"/>
      <c r="V3402" s="52"/>
      <c r="W3402" s="52"/>
      <c r="X3402" s="52"/>
      <c r="Y3402" s="52"/>
      <c r="Z3402" s="52"/>
      <c r="AA3402" s="52"/>
      <c r="AB3402" s="52"/>
      <c r="AC3402" s="52"/>
      <c r="AD3402" s="52"/>
      <c r="AE3402" s="52"/>
      <c r="AF3402" s="52"/>
      <c r="AG3402" s="52"/>
      <c r="AH3402" s="52"/>
      <c r="AI3402" s="50"/>
      <c r="AL3402" s="50"/>
      <c r="AM3402" s="52"/>
      <c r="AN3402" s="52"/>
    </row>
    <row r="3403" spans="16:40" x14ac:dyDescent="0.2">
      <c r="P3403" s="52"/>
      <c r="Q3403" s="52"/>
      <c r="R3403" s="52"/>
      <c r="S3403" s="52"/>
      <c r="T3403" s="52"/>
      <c r="U3403" s="52"/>
      <c r="V3403" s="52"/>
      <c r="W3403" s="52"/>
      <c r="X3403" s="52"/>
      <c r="Y3403" s="52"/>
      <c r="Z3403" s="52"/>
      <c r="AA3403" s="52"/>
      <c r="AB3403" s="52"/>
      <c r="AC3403" s="52"/>
      <c r="AD3403" s="52"/>
      <c r="AE3403" s="52"/>
      <c r="AF3403" s="52"/>
      <c r="AG3403" s="52"/>
      <c r="AH3403" s="52"/>
      <c r="AI3403" s="50"/>
      <c r="AL3403" s="50"/>
      <c r="AM3403" s="52"/>
      <c r="AN3403" s="52"/>
    </row>
    <row r="3404" spans="16:40" x14ac:dyDescent="0.2"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2"/>
      <c r="AA3404" s="52"/>
      <c r="AB3404" s="52"/>
      <c r="AC3404" s="52"/>
      <c r="AD3404" s="52"/>
      <c r="AE3404" s="52"/>
      <c r="AF3404" s="52"/>
      <c r="AG3404" s="52"/>
      <c r="AH3404" s="52"/>
      <c r="AI3404" s="50"/>
      <c r="AL3404" s="50"/>
      <c r="AM3404" s="52"/>
      <c r="AN3404" s="52"/>
    </row>
    <row r="3405" spans="16:40" x14ac:dyDescent="0.2">
      <c r="P3405" s="52"/>
      <c r="Q3405" s="52"/>
      <c r="R3405" s="52"/>
      <c r="S3405" s="52"/>
      <c r="T3405" s="52"/>
      <c r="U3405" s="52"/>
      <c r="V3405" s="52"/>
      <c r="W3405" s="52"/>
      <c r="X3405" s="52"/>
      <c r="Y3405" s="52"/>
      <c r="Z3405" s="52"/>
      <c r="AA3405" s="52"/>
      <c r="AB3405" s="52"/>
      <c r="AC3405" s="52"/>
      <c r="AD3405" s="52"/>
      <c r="AE3405" s="52"/>
      <c r="AF3405" s="52"/>
      <c r="AG3405" s="52"/>
      <c r="AH3405" s="52"/>
      <c r="AI3405" s="50"/>
      <c r="AL3405" s="50"/>
      <c r="AM3405" s="52"/>
      <c r="AN3405" s="52"/>
    </row>
    <row r="3406" spans="16:40" x14ac:dyDescent="0.2">
      <c r="P3406" s="52"/>
      <c r="Q3406" s="52"/>
      <c r="R3406" s="52"/>
      <c r="S3406" s="52"/>
      <c r="T3406" s="52"/>
      <c r="U3406" s="52"/>
      <c r="V3406" s="52"/>
      <c r="W3406" s="52"/>
      <c r="X3406" s="52"/>
      <c r="Y3406" s="52"/>
      <c r="Z3406" s="52"/>
      <c r="AA3406" s="52"/>
      <c r="AB3406" s="52"/>
      <c r="AC3406" s="52"/>
      <c r="AD3406" s="52"/>
      <c r="AE3406" s="52"/>
      <c r="AF3406" s="52"/>
      <c r="AG3406" s="52"/>
      <c r="AH3406" s="52"/>
      <c r="AI3406" s="50"/>
      <c r="AL3406" s="50"/>
      <c r="AM3406" s="52"/>
      <c r="AN3406" s="52"/>
    </row>
    <row r="3407" spans="16:40" x14ac:dyDescent="0.2">
      <c r="P3407" s="52"/>
      <c r="Q3407" s="52"/>
      <c r="R3407" s="52"/>
      <c r="S3407" s="52"/>
      <c r="T3407" s="52"/>
      <c r="U3407" s="52"/>
      <c r="V3407" s="52"/>
      <c r="W3407" s="52"/>
      <c r="X3407" s="52"/>
      <c r="Y3407" s="52"/>
      <c r="Z3407" s="52"/>
      <c r="AA3407" s="52"/>
      <c r="AB3407" s="52"/>
      <c r="AC3407" s="52"/>
      <c r="AD3407" s="52"/>
      <c r="AE3407" s="52"/>
      <c r="AF3407" s="52"/>
      <c r="AG3407" s="52"/>
      <c r="AH3407" s="52"/>
      <c r="AI3407" s="50"/>
      <c r="AL3407" s="50"/>
      <c r="AM3407" s="52"/>
      <c r="AN3407" s="52"/>
    </row>
    <row r="3408" spans="16:40" x14ac:dyDescent="0.2">
      <c r="P3408" s="52"/>
      <c r="Q3408" s="52"/>
      <c r="R3408" s="52"/>
      <c r="S3408" s="52"/>
      <c r="T3408" s="52"/>
      <c r="U3408" s="52"/>
      <c r="V3408" s="52"/>
      <c r="W3408" s="52"/>
      <c r="X3408" s="52"/>
      <c r="Y3408" s="52"/>
      <c r="Z3408" s="52"/>
      <c r="AA3408" s="52"/>
      <c r="AB3408" s="52"/>
      <c r="AC3408" s="52"/>
      <c r="AD3408" s="52"/>
      <c r="AE3408" s="52"/>
      <c r="AF3408" s="52"/>
      <c r="AG3408" s="52"/>
      <c r="AH3408" s="52"/>
      <c r="AI3408" s="50"/>
      <c r="AL3408" s="50"/>
      <c r="AM3408" s="52"/>
      <c r="AN3408" s="52"/>
    </row>
    <row r="3409" spans="16:40" x14ac:dyDescent="0.2">
      <c r="P3409" s="52"/>
      <c r="Q3409" s="52"/>
      <c r="R3409" s="52"/>
      <c r="S3409" s="52"/>
      <c r="T3409" s="52"/>
      <c r="U3409" s="52"/>
      <c r="V3409" s="52"/>
      <c r="W3409" s="52"/>
      <c r="X3409" s="52"/>
      <c r="Y3409" s="52"/>
      <c r="Z3409" s="52"/>
      <c r="AA3409" s="52"/>
      <c r="AB3409" s="52"/>
      <c r="AC3409" s="52"/>
      <c r="AD3409" s="52"/>
      <c r="AE3409" s="52"/>
      <c r="AF3409" s="52"/>
      <c r="AG3409" s="52"/>
      <c r="AH3409" s="52"/>
      <c r="AI3409" s="50"/>
      <c r="AL3409" s="50"/>
      <c r="AM3409" s="52"/>
      <c r="AN3409" s="52"/>
    </row>
    <row r="3410" spans="16:40" x14ac:dyDescent="0.2">
      <c r="P3410" s="52"/>
      <c r="Q3410" s="52"/>
      <c r="R3410" s="52"/>
      <c r="S3410" s="52"/>
      <c r="T3410" s="52"/>
      <c r="U3410" s="52"/>
      <c r="V3410" s="52"/>
      <c r="W3410" s="52"/>
      <c r="X3410" s="52"/>
      <c r="Y3410" s="52"/>
      <c r="Z3410" s="52"/>
      <c r="AA3410" s="52"/>
      <c r="AB3410" s="52"/>
      <c r="AC3410" s="52"/>
      <c r="AD3410" s="52"/>
      <c r="AE3410" s="52"/>
      <c r="AF3410" s="52"/>
      <c r="AG3410" s="52"/>
      <c r="AH3410" s="52"/>
      <c r="AI3410" s="50"/>
      <c r="AL3410" s="50"/>
      <c r="AM3410" s="52"/>
      <c r="AN3410" s="52"/>
    </row>
    <row r="3411" spans="16:40" x14ac:dyDescent="0.2">
      <c r="P3411" s="52"/>
      <c r="Q3411" s="52"/>
      <c r="R3411" s="52"/>
      <c r="S3411" s="52"/>
      <c r="T3411" s="52"/>
      <c r="U3411" s="52"/>
      <c r="V3411" s="52"/>
      <c r="W3411" s="52"/>
      <c r="X3411" s="52"/>
      <c r="Y3411" s="52"/>
      <c r="Z3411" s="52"/>
      <c r="AA3411" s="52"/>
      <c r="AB3411" s="52"/>
      <c r="AC3411" s="52"/>
      <c r="AD3411" s="52"/>
      <c r="AE3411" s="52"/>
      <c r="AF3411" s="52"/>
      <c r="AG3411" s="52"/>
      <c r="AH3411" s="52"/>
      <c r="AI3411" s="50"/>
      <c r="AL3411" s="50"/>
      <c r="AM3411" s="52"/>
      <c r="AN3411" s="52"/>
    </row>
    <row r="3412" spans="16:40" x14ac:dyDescent="0.2">
      <c r="P3412" s="52"/>
      <c r="Q3412" s="52"/>
      <c r="R3412" s="52"/>
      <c r="S3412" s="52"/>
      <c r="T3412" s="52"/>
      <c r="U3412" s="52"/>
      <c r="V3412" s="52"/>
      <c r="W3412" s="52"/>
      <c r="X3412" s="52"/>
      <c r="Y3412" s="52"/>
      <c r="Z3412" s="52"/>
      <c r="AA3412" s="52"/>
      <c r="AB3412" s="52"/>
      <c r="AC3412" s="52"/>
      <c r="AD3412" s="52"/>
      <c r="AE3412" s="52"/>
      <c r="AF3412" s="52"/>
      <c r="AG3412" s="52"/>
      <c r="AH3412" s="52"/>
      <c r="AI3412" s="50"/>
      <c r="AL3412" s="50"/>
      <c r="AM3412" s="52"/>
      <c r="AN3412" s="52"/>
    </row>
    <row r="3413" spans="16:40" x14ac:dyDescent="0.2">
      <c r="P3413" s="52"/>
      <c r="Q3413" s="52"/>
      <c r="R3413" s="52"/>
      <c r="S3413" s="52"/>
      <c r="T3413" s="52"/>
      <c r="U3413" s="52"/>
      <c r="V3413" s="52"/>
      <c r="W3413" s="52"/>
      <c r="X3413" s="52"/>
      <c r="Y3413" s="52"/>
      <c r="Z3413" s="52"/>
      <c r="AA3413" s="52"/>
      <c r="AB3413" s="52"/>
      <c r="AC3413" s="52"/>
      <c r="AD3413" s="52"/>
      <c r="AE3413" s="52"/>
      <c r="AF3413" s="52"/>
      <c r="AG3413" s="52"/>
      <c r="AH3413" s="52"/>
      <c r="AI3413" s="50"/>
      <c r="AL3413" s="50"/>
      <c r="AM3413" s="52"/>
      <c r="AN3413" s="52"/>
    </row>
    <row r="3414" spans="16:40" x14ac:dyDescent="0.2">
      <c r="P3414" s="52"/>
      <c r="Q3414" s="52"/>
      <c r="R3414" s="52"/>
      <c r="S3414" s="52"/>
      <c r="T3414" s="52"/>
      <c r="U3414" s="52"/>
      <c r="V3414" s="52"/>
      <c r="W3414" s="52"/>
      <c r="X3414" s="52"/>
      <c r="Y3414" s="52"/>
      <c r="Z3414" s="52"/>
      <c r="AA3414" s="52"/>
      <c r="AB3414" s="52"/>
      <c r="AC3414" s="52"/>
      <c r="AD3414" s="52"/>
      <c r="AE3414" s="52"/>
      <c r="AF3414" s="52"/>
      <c r="AG3414" s="52"/>
      <c r="AH3414" s="52"/>
      <c r="AI3414" s="50"/>
      <c r="AL3414" s="50"/>
      <c r="AM3414" s="52"/>
      <c r="AN3414" s="52"/>
    </row>
    <row r="3415" spans="16:40" x14ac:dyDescent="0.2">
      <c r="P3415" s="52"/>
      <c r="Q3415" s="52"/>
      <c r="R3415" s="52"/>
      <c r="S3415" s="52"/>
      <c r="T3415" s="52"/>
      <c r="U3415" s="52"/>
      <c r="V3415" s="52"/>
      <c r="W3415" s="52"/>
      <c r="X3415" s="52"/>
      <c r="Y3415" s="52"/>
      <c r="Z3415" s="52"/>
      <c r="AA3415" s="52"/>
      <c r="AB3415" s="52"/>
      <c r="AC3415" s="52"/>
      <c r="AD3415" s="52"/>
      <c r="AE3415" s="52"/>
      <c r="AF3415" s="52"/>
      <c r="AG3415" s="52"/>
      <c r="AH3415" s="52"/>
      <c r="AI3415" s="50"/>
      <c r="AL3415" s="50"/>
      <c r="AM3415" s="52"/>
      <c r="AN3415" s="52"/>
    </row>
    <row r="3416" spans="16:40" x14ac:dyDescent="0.2">
      <c r="P3416" s="52"/>
      <c r="Q3416" s="52"/>
      <c r="R3416" s="52"/>
      <c r="S3416" s="52"/>
      <c r="T3416" s="52"/>
      <c r="U3416" s="52"/>
      <c r="V3416" s="52"/>
      <c r="W3416" s="52"/>
      <c r="X3416" s="52"/>
      <c r="Y3416" s="52"/>
      <c r="Z3416" s="52"/>
      <c r="AA3416" s="52"/>
      <c r="AB3416" s="52"/>
      <c r="AC3416" s="52"/>
      <c r="AD3416" s="52"/>
      <c r="AE3416" s="52"/>
      <c r="AF3416" s="52"/>
      <c r="AG3416" s="52"/>
      <c r="AH3416" s="52"/>
      <c r="AI3416" s="50"/>
      <c r="AL3416" s="50"/>
      <c r="AM3416" s="52"/>
      <c r="AN3416" s="52"/>
    </row>
    <row r="3417" spans="16:40" x14ac:dyDescent="0.2">
      <c r="P3417" s="52"/>
      <c r="Q3417" s="52"/>
      <c r="R3417" s="52"/>
      <c r="S3417" s="52"/>
      <c r="T3417" s="52"/>
      <c r="U3417" s="52"/>
      <c r="V3417" s="52"/>
      <c r="W3417" s="52"/>
      <c r="X3417" s="52"/>
      <c r="Y3417" s="52"/>
      <c r="Z3417" s="52"/>
      <c r="AA3417" s="52"/>
      <c r="AB3417" s="52"/>
      <c r="AC3417" s="52"/>
      <c r="AD3417" s="52"/>
      <c r="AE3417" s="52"/>
      <c r="AF3417" s="52"/>
      <c r="AG3417" s="52"/>
      <c r="AH3417" s="52"/>
      <c r="AI3417" s="50"/>
      <c r="AL3417" s="50"/>
      <c r="AM3417" s="52"/>
      <c r="AN3417" s="52"/>
    </row>
    <row r="3418" spans="16:40" x14ac:dyDescent="0.2">
      <c r="P3418" s="52"/>
      <c r="Q3418" s="52"/>
      <c r="R3418" s="52"/>
      <c r="S3418" s="52"/>
      <c r="T3418" s="52"/>
      <c r="U3418" s="52"/>
      <c r="V3418" s="52"/>
      <c r="W3418" s="52"/>
      <c r="X3418" s="52"/>
      <c r="Y3418" s="52"/>
      <c r="Z3418" s="52"/>
      <c r="AA3418" s="52"/>
      <c r="AB3418" s="52"/>
      <c r="AC3418" s="52"/>
      <c r="AD3418" s="52"/>
      <c r="AE3418" s="52"/>
      <c r="AF3418" s="52"/>
      <c r="AG3418" s="52"/>
      <c r="AH3418" s="52"/>
      <c r="AI3418" s="50"/>
      <c r="AL3418" s="50"/>
      <c r="AM3418" s="52"/>
      <c r="AN3418" s="52"/>
    </row>
    <row r="3419" spans="16:40" x14ac:dyDescent="0.2">
      <c r="P3419" s="52"/>
      <c r="Q3419" s="52"/>
      <c r="R3419" s="52"/>
      <c r="S3419" s="52"/>
      <c r="T3419" s="52"/>
      <c r="U3419" s="52"/>
      <c r="V3419" s="52"/>
      <c r="W3419" s="52"/>
      <c r="X3419" s="52"/>
      <c r="Y3419" s="52"/>
      <c r="Z3419" s="52"/>
      <c r="AA3419" s="52"/>
      <c r="AB3419" s="52"/>
      <c r="AC3419" s="52"/>
      <c r="AD3419" s="52"/>
      <c r="AE3419" s="52"/>
      <c r="AF3419" s="52"/>
      <c r="AG3419" s="52"/>
      <c r="AH3419" s="52"/>
      <c r="AI3419" s="50"/>
      <c r="AL3419" s="50"/>
      <c r="AM3419" s="52"/>
      <c r="AN3419" s="52"/>
    </row>
    <row r="3420" spans="16:40" x14ac:dyDescent="0.2">
      <c r="P3420" s="52"/>
      <c r="Q3420" s="52"/>
      <c r="R3420" s="52"/>
      <c r="S3420" s="52"/>
      <c r="T3420" s="52"/>
      <c r="U3420" s="52"/>
      <c r="V3420" s="52"/>
      <c r="W3420" s="52"/>
      <c r="X3420" s="52"/>
      <c r="Y3420" s="52"/>
      <c r="Z3420" s="52"/>
      <c r="AA3420" s="52"/>
      <c r="AB3420" s="52"/>
      <c r="AC3420" s="52"/>
      <c r="AD3420" s="52"/>
      <c r="AE3420" s="52"/>
      <c r="AF3420" s="52"/>
      <c r="AG3420" s="52"/>
      <c r="AH3420" s="52"/>
      <c r="AI3420" s="50"/>
      <c r="AL3420" s="50"/>
      <c r="AM3420" s="52"/>
      <c r="AN3420" s="52"/>
    </row>
    <row r="3421" spans="16:40" x14ac:dyDescent="0.2">
      <c r="P3421" s="52"/>
      <c r="Q3421" s="52"/>
      <c r="R3421" s="52"/>
      <c r="S3421" s="52"/>
      <c r="T3421" s="52"/>
      <c r="U3421" s="52"/>
      <c r="V3421" s="52"/>
      <c r="W3421" s="52"/>
      <c r="X3421" s="52"/>
      <c r="Y3421" s="52"/>
      <c r="Z3421" s="52"/>
      <c r="AA3421" s="52"/>
      <c r="AB3421" s="52"/>
      <c r="AC3421" s="52"/>
      <c r="AD3421" s="52"/>
      <c r="AE3421" s="52"/>
      <c r="AF3421" s="52"/>
      <c r="AG3421" s="52"/>
      <c r="AH3421" s="52"/>
      <c r="AI3421" s="50"/>
      <c r="AL3421" s="50"/>
      <c r="AM3421" s="52"/>
      <c r="AN3421" s="52"/>
    </row>
    <row r="3422" spans="16:40" x14ac:dyDescent="0.2">
      <c r="P3422" s="52"/>
      <c r="Q3422" s="52"/>
      <c r="R3422" s="52"/>
      <c r="S3422" s="52"/>
      <c r="T3422" s="52"/>
      <c r="U3422" s="52"/>
      <c r="V3422" s="52"/>
      <c r="W3422" s="52"/>
      <c r="X3422" s="52"/>
      <c r="Y3422" s="52"/>
      <c r="Z3422" s="52"/>
      <c r="AA3422" s="52"/>
      <c r="AB3422" s="52"/>
      <c r="AC3422" s="52"/>
      <c r="AD3422" s="52"/>
      <c r="AE3422" s="52"/>
      <c r="AF3422" s="52"/>
      <c r="AG3422" s="52"/>
      <c r="AH3422" s="52"/>
      <c r="AI3422" s="50"/>
      <c r="AL3422" s="50"/>
      <c r="AM3422" s="52"/>
      <c r="AN3422" s="52"/>
    </row>
    <row r="3423" spans="16:40" x14ac:dyDescent="0.2">
      <c r="P3423" s="52"/>
      <c r="Q3423" s="52"/>
      <c r="R3423" s="52"/>
      <c r="S3423" s="52"/>
      <c r="T3423" s="52"/>
      <c r="U3423" s="52"/>
      <c r="V3423" s="52"/>
      <c r="W3423" s="52"/>
      <c r="X3423" s="52"/>
      <c r="Y3423" s="52"/>
      <c r="Z3423" s="52"/>
      <c r="AA3423" s="52"/>
      <c r="AB3423" s="52"/>
      <c r="AC3423" s="52"/>
      <c r="AD3423" s="52"/>
      <c r="AE3423" s="52"/>
      <c r="AF3423" s="52"/>
      <c r="AG3423" s="52"/>
      <c r="AH3423" s="52"/>
      <c r="AI3423" s="50"/>
      <c r="AL3423" s="50"/>
      <c r="AM3423" s="52"/>
      <c r="AN3423" s="52"/>
    </row>
    <row r="3424" spans="16:40" x14ac:dyDescent="0.2">
      <c r="P3424" s="52"/>
      <c r="Q3424" s="52"/>
      <c r="R3424" s="52"/>
      <c r="S3424" s="52"/>
      <c r="T3424" s="52"/>
      <c r="U3424" s="52"/>
      <c r="V3424" s="52"/>
      <c r="W3424" s="52"/>
      <c r="X3424" s="52"/>
      <c r="Y3424" s="52"/>
      <c r="Z3424" s="52"/>
      <c r="AA3424" s="52"/>
      <c r="AB3424" s="52"/>
      <c r="AC3424" s="52"/>
      <c r="AD3424" s="52"/>
      <c r="AE3424" s="52"/>
      <c r="AF3424" s="52"/>
      <c r="AG3424" s="52"/>
      <c r="AH3424" s="52"/>
      <c r="AI3424" s="50"/>
      <c r="AL3424" s="50"/>
      <c r="AM3424" s="52"/>
      <c r="AN3424" s="52"/>
    </row>
    <row r="3425" spans="16:40" x14ac:dyDescent="0.2">
      <c r="P3425" s="52"/>
      <c r="Q3425" s="52"/>
      <c r="R3425" s="52"/>
      <c r="S3425" s="52"/>
      <c r="T3425" s="52"/>
      <c r="U3425" s="52"/>
      <c r="V3425" s="52"/>
      <c r="W3425" s="52"/>
      <c r="X3425" s="52"/>
      <c r="Y3425" s="52"/>
      <c r="Z3425" s="52"/>
      <c r="AA3425" s="52"/>
      <c r="AB3425" s="52"/>
      <c r="AC3425" s="52"/>
      <c r="AD3425" s="52"/>
      <c r="AE3425" s="52"/>
      <c r="AF3425" s="52"/>
      <c r="AG3425" s="52"/>
      <c r="AH3425" s="52"/>
      <c r="AI3425" s="50"/>
      <c r="AL3425" s="50"/>
      <c r="AM3425" s="52"/>
      <c r="AN3425" s="52"/>
    </row>
    <row r="3426" spans="16:40" x14ac:dyDescent="0.2">
      <c r="P3426" s="52"/>
      <c r="Q3426" s="52"/>
      <c r="R3426" s="52"/>
      <c r="S3426" s="52"/>
      <c r="T3426" s="52"/>
      <c r="U3426" s="52"/>
      <c r="V3426" s="52"/>
      <c r="W3426" s="52"/>
      <c r="X3426" s="52"/>
      <c r="Y3426" s="52"/>
      <c r="Z3426" s="52"/>
      <c r="AA3426" s="52"/>
      <c r="AB3426" s="52"/>
      <c r="AC3426" s="52"/>
      <c r="AD3426" s="52"/>
      <c r="AE3426" s="52"/>
      <c r="AF3426" s="52"/>
      <c r="AG3426" s="52"/>
      <c r="AH3426" s="52"/>
      <c r="AI3426" s="50"/>
      <c r="AL3426" s="50"/>
      <c r="AM3426" s="52"/>
      <c r="AN3426" s="52"/>
    </row>
    <row r="3427" spans="16:40" x14ac:dyDescent="0.2">
      <c r="P3427" s="52"/>
      <c r="Q3427" s="52"/>
      <c r="R3427" s="52"/>
      <c r="S3427" s="52"/>
      <c r="T3427" s="52"/>
      <c r="U3427" s="52"/>
      <c r="V3427" s="52"/>
      <c r="W3427" s="52"/>
      <c r="X3427" s="52"/>
      <c r="Y3427" s="52"/>
      <c r="Z3427" s="52"/>
      <c r="AA3427" s="52"/>
      <c r="AB3427" s="52"/>
      <c r="AC3427" s="52"/>
      <c r="AD3427" s="52"/>
      <c r="AE3427" s="52"/>
      <c r="AF3427" s="52"/>
      <c r="AG3427" s="52"/>
      <c r="AH3427" s="52"/>
      <c r="AI3427" s="50"/>
      <c r="AL3427" s="50"/>
      <c r="AM3427" s="52"/>
      <c r="AN3427" s="52"/>
    </row>
    <row r="3428" spans="16:40" x14ac:dyDescent="0.2">
      <c r="P3428" s="52"/>
      <c r="Q3428" s="52"/>
      <c r="R3428" s="52"/>
      <c r="S3428" s="52"/>
      <c r="T3428" s="52"/>
      <c r="U3428" s="52"/>
      <c r="V3428" s="52"/>
      <c r="W3428" s="52"/>
      <c r="X3428" s="52"/>
      <c r="Y3428" s="52"/>
      <c r="Z3428" s="52"/>
      <c r="AA3428" s="52"/>
      <c r="AB3428" s="52"/>
      <c r="AC3428" s="52"/>
      <c r="AD3428" s="52"/>
      <c r="AE3428" s="52"/>
      <c r="AF3428" s="52"/>
      <c r="AG3428" s="52"/>
      <c r="AH3428" s="52"/>
      <c r="AI3428" s="50"/>
      <c r="AL3428" s="50"/>
      <c r="AM3428" s="52"/>
      <c r="AN3428" s="52"/>
    </row>
    <row r="3429" spans="16:40" x14ac:dyDescent="0.2">
      <c r="P3429" s="52"/>
      <c r="Q3429" s="52"/>
      <c r="R3429" s="52"/>
      <c r="S3429" s="52"/>
      <c r="T3429" s="52"/>
      <c r="U3429" s="52"/>
      <c r="V3429" s="52"/>
      <c r="W3429" s="52"/>
      <c r="X3429" s="52"/>
      <c r="Y3429" s="52"/>
      <c r="Z3429" s="52"/>
      <c r="AA3429" s="52"/>
      <c r="AB3429" s="52"/>
      <c r="AC3429" s="52"/>
      <c r="AD3429" s="52"/>
      <c r="AE3429" s="52"/>
      <c r="AF3429" s="52"/>
      <c r="AG3429" s="52"/>
      <c r="AH3429" s="52"/>
      <c r="AI3429" s="50"/>
      <c r="AL3429" s="50"/>
      <c r="AM3429" s="52"/>
      <c r="AN3429" s="52"/>
    </row>
    <row r="3430" spans="16:40" x14ac:dyDescent="0.2">
      <c r="P3430" s="52"/>
      <c r="Q3430" s="52"/>
      <c r="R3430" s="52"/>
      <c r="S3430" s="52"/>
      <c r="T3430" s="52"/>
      <c r="U3430" s="52"/>
      <c r="V3430" s="52"/>
      <c r="W3430" s="52"/>
      <c r="X3430" s="52"/>
      <c r="Y3430" s="52"/>
      <c r="Z3430" s="52"/>
      <c r="AA3430" s="52"/>
      <c r="AB3430" s="52"/>
      <c r="AC3430" s="52"/>
      <c r="AD3430" s="52"/>
      <c r="AE3430" s="52"/>
      <c r="AF3430" s="52"/>
      <c r="AG3430" s="52"/>
      <c r="AH3430" s="52"/>
      <c r="AI3430" s="50"/>
      <c r="AL3430" s="50"/>
      <c r="AM3430" s="52"/>
      <c r="AN3430" s="52"/>
    </row>
    <row r="3431" spans="16:40" x14ac:dyDescent="0.2">
      <c r="P3431" s="52"/>
      <c r="Q3431" s="52"/>
      <c r="R3431" s="52"/>
      <c r="S3431" s="52"/>
      <c r="T3431" s="52"/>
      <c r="U3431" s="52"/>
      <c r="V3431" s="52"/>
      <c r="W3431" s="52"/>
      <c r="X3431" s="52"/>
      <c r="Y3431" s="52"/>
      <c r="Z3431" s="52"/>
      <c r="AA3431" s="52"/>
      <c r="AB3431" s="52"/>
      <c r="AC3431" s="52"/>
      <c r="AD3431" s="52"/>
      <c r="AE3431" s="52"/>
      <c r="AF3431" s="52"/>
      <c r="AG3431" s="52"/>
      <c r="AH3431" s="52"/>
      <c r="AI3431" s="50"/>
      <c r="AL3431" s="50"/>
      <c r="AM3431" s="52"/>
      <c r="AN3431" s="52"/>
    </row>
    <row r="3432" spans="16:40" x14ac:dyDescent="0.2">
      <c r="P3432" s="52"/>
      <c r="Q3432" s="52"/>
      <c r="R3432" s="52"/>
      <c r="S3432" s="52"/>
      <c r="T3432" s="52"/>
      <c r="U3432" s="52"/>
      <c r="V3432" s="52"/>
      <c r="W3432" s="52"/>
      <c r="X3432" s="52"/>
      <c r="Y3432" s="52"/>
      <c r="Z3432" s="52"/>
      <c r="AA3432" s="52"/>
      <c r="AB3432" s="52"/>
      <c r="AC3432" s="52"/>
      <c r="AD3432" s="52"/>
      <c r="AE3432" s="52"/>
      <c r="AF3432" s="52"/>
      <c r="AG3432" s="52"/>
      <c r="AH3432" s="52"/>
      <c r="AI3432" s="50"/>
      <c r="AL3432" s="50"/>
      <c r="AM3432" s="52"/>
      <c r="AN3432" s="52"/>
    </row>
    <row r="3433" spans="16:40" x14ac:dyDescent="0.2">
      <c r="P3433" s="52"/>
      <c r="Q3433" s="52"/>
      <c r="R3433" s="52"/>
      <c r="S3433" s="52"/>
      <c r="T3433" s="52"/>
      <c r="U3433" s="52"/>
      <c r="V3433" s="52"/>
      <c r="W3433" s="52"/>
      <c r="X3433" s="52"/>
      <c r="Y3433" s="52"/>
      <c r="Z3433" s="52"/>
      <c r="AA3433" s="52"/>
      <c r="AB3433" s="52"/>
      <c r="AC3433" s="52"/>
      <c r="AD3433" s="52"/>
      <c r="AE3433" s="52"/>
      <c r="AF3433" s="52"/>
      <c r="AG3433" s="52"/>
      <c r="AH3433" s="52"/>
      <c r="AI3433" s="50"/>
      <c r="AL3433" s="50"/>
      <c r="AM3433" s="52"/>
      <c r="AN3433" s="52"/>
    </row>
    <row r="3434" spans="16:40" x14ac:dyDescent="0.2">
      <c r="P3434" s="52"/>
      <c r="Q3434" s="52"/>
      <c r="R3434" s="52"/>
      <c r="S3434" s="52"/>
      <c r="T3434" s="52"/>
      <c r="U3434" s="52"/>
      <c r="V3434" s="52"/>
      <c r="W3434" s="52"/>
      <c r="X3434" s="52"/>
      <c r="Y3434" s="52"/>
      <c r="Z3434" s="52"/>
      <c r="AA3434" s="52"/>
      <c r="AB3434" s="52"/>
      <c r="AC3434" s="52"/>
      <c r="AD3434" s="52"/>
      <c r="AE3434" s="52"/>
      <c r="AF3434" s="52"/>
      <c r="AG3434" s="52"/>
      <c r="AH3434" s="52"/>
      <c r="AI3434" s="50"/>
      <c r="AL3434" s="50"/>
      <c r="AM3434" s="52"/>
      <c r="AN3434" s="52"/>
    </row>
    <row r="3435" spans="16:40" x14ac:dyDescent="0.2">
      <c r="P3435" s="52"/>
      <c r="Q3435" s="52"/>
      <c r="R3435" s="52"/>
      <c r="S3435" s="52"/>
      <c r="T3435" s="52"/>
      <c r="U3435" s="52"/>
      <c r="V3435" s="52"/>
      <c r="W3435" s="52"/>
      <c r="X3435" s="52"/>
      <c r="Y3435" s="52"/>
      <c r="Z3435" s="52"/>
      <c r="AA3435" s="52"/>
      <c r="AB3435" s="52"/>
      <c r="AC3435" s="52"/>
      <c r="AD3435" s="52"/>
      <c r="AE3435" s="52"/>
      <c r="AF3435" s="52"/>
      <c r="AG3435" s="52"/>
      <c r="AH3435" s="52"/>
      <c r="AI3435" s="50"/>
      <c r="AL3435" s="50"/>
      <c r="AM3435" s="52"/>
      <c r="AN3435" s="52"/>
    </row>
    <row r="3436" spans="16:40" x14ac:dyDescent="0.2">
      <c r="P3436" s="52"/>
      <c r="Q3436" s="52"/>
      <c r="R3436" s="52"/>
      <c r="S3436" s="52"/>
      <c r="T3436" s="52"/>
      <c r="U3436" s="52"/>
      <c r="V3436" s="52"/>
      <c r="W3436" s="52"/>
      <c r="X3436" s="52"/>
      <c r="Y3436" s="52"/>
      <c r="Z3436" s="52"/>
      <c r="AA3436" s="52"/>
      <c r="AB3436" s="52"/>
      <c r="AC3436" s="52"/>
      <c r="AD3436" s="52"/>
      <c r="AE3436" s="52"/>
      <c r="AF3436" s="52"/>
      <c r="AG3436" s="52"/>
      <c r="AH3436" s="52"/>
      <c r="AI3436" s="50"/>
      <c r="AL3436" s="50"/>
      <c r="AM3436" s="52"/>
      <c r="AN3436" s="52"/>
    </row>
    <row r="3437" spans="16:40" x14ac:dyDescent="0.2">
      <c r="P3437" s="52"/>
      <c r="Q3437" s="52"/>
      <c r="R3437" s="52"/>
      <c r="S3437" s="52"/>
      <c r="T3437" s="52"/>
      <c r="U3437" s="52"/>
      <c r="V3437" s="52"/>
      <c r="W3437" s="52"/>
      <c r="X3437" s="52"/>
      <c r="Y3437" s="52"/>
      <c r="Z3437" s="52"/>
      <c r="AA3437" s="52"/>
      <c r="AB3437" s="52"/>
      <c r="AC3437" s="52"/>
      <c r="AD3437" s="52"/>
      <c r="AE3437" s="52"/>
      <c r="AF3437" s="52"/>
      <c r="AG3437" s="52"/>
      <c r="AH3437" s="52"/>
      <c r="AI3437" s="50"/>
      <c r="AL3437" s="50"/>
      <c r="AM3437" s="52"/>
      <c r="AN3437" s="52"/>
    </row>
    <row r="3438" spans="16:40" x14ac:dyDescent="0.2">
      <c r="P3438" s="52"/>
      <c r="Q3438" s="52"/>
      <c r="R3438" s="52"/>
      <c r="S3438" s="52"/>
      <c r="T3438" s="52"/>
      <c r="U3438" s="52"/>
      <c r="V3438" s="52"/>
      <c r="W3438" s="52"/>
      <c r="X3438" s="52"/>
      <c r="Y3438" s="52"/>
      <c r="Z3438" s="52"/>
      <c r="AA3438" s="52"/>
      <c r="AB3438" s="52"/>
      <c r="AC3438" s="52"/>
      <c r="AD3438" s="52"/>
      <c r="AE3438" s="52"/>
      <c r="AF3438" s="52"/>
      <c r="AG3438" s="52"/>
      <c r="AH3438" s="52"/>
      <c r="AI3438" s="50"/>
      <c r="AL3438" s="50"/>
      <c r="AM3438" s="52"/>
      <c r="AN3438" s="52"/>
    </row>
    <row r="3439" spans="16:40" x14ac:dyDescent="0.2">
      <c r="P3439" s="52"/>
      <c r="Q3439" s="52"/>
      <c r="R3439" s="52"/>
      <c r="S3439" s="52"/>
      <c r="T3439" s="52"/>
      <c r="U3439" s="52"/>
      <c r="V3439" s="52"/>
      <c r="W3439" s="52"/>
      <c r="X3439" s="52"/>
      <c r="Y3439" s="52"/>
      <c r="Z3439" s="52"/>
      <c r="AA3439" s="52"/>
      <c r="AB3439" s="52"/>
      <c r="AC3439" s="52"/>
      <c r="AD3439" s="52"/>
      <c r="AE3439" s="52"/>
      <c r="AF3439" s="52"/>
      <c r="AG3439" s="52"/>
      <c r="AH3439" s="52"/>
      <c r="AI3439" s="50"/>
      <c r="AL3439" s="50"/>
      <c r="AM3439" s="52"/>
      <c r="AN3439" s="52"/>
    </row>
    <row r="3440" spans="16:40" x14ac:dyDescent="0.2">
      <c r="P3440" s="52"/>
      <c r="Q3440" s="52"/>
      <c r="R3440" s="52"/>
      <c r="S3440" s="52"/>
      <c r="T3440" s="52"/>
      <c r="U3440" s="52"/>
      <c r="V3440" s="52"/>
      <c r="W3440" s="52"/>
      <c r="X3440" s="52"/>
      <c r="Y3440" s="52"/>
      <c r="Z3440" s="52"/>
      <c r="AA3440" s="52"/>
      <c r="AB3440" s="52"/>
      <c r="AC3440" s="52"/>
      <c r="AD3440" s="52"/>
      <c r="AE3440" s="52"/>
      <c r="AF3440" s="52"/>
      <c r="AG3440" s="52"/>
      <c r="AH3440" s="52"/>
      <c r="AI3440" s="50"/>
      <c r="AL3440" s="50"/>
      <c r="AM3440" s="52"/>
      <c r="AN3440" s="52"/>
    </row>
    <row r="3441" spans="16:40" x14ac:dyDescent="0.2">
      <c r="P3441" s="52"/>
      <c r="Q3441" s="52"/>
      <c r="R3441" s="52"/>
      <c r="S3441" s="52"/>
      <c r="T3441" s="52"/>
      <c r="U3441" s="52"/>
      <c r="V3441" s="52"/>
      <c r="W3441" s="52"/>
      <c r="X3441" s="52"/>
      <c r="Y3441" s="52"/>
      <c r="Z3441" s="52"/>
      <c r="AA3441" s="52"/>
      <c r="AB3441" s="52"/>
      <c r="AC3441" s="52"/>
      <c r="AD3441" s="52"/>
      <c r="AE3441" s="52"/>
      <c r="AF3441" s="52"/>
      <c r="AG3441" s="52"/>
      <c r="AH3441" s="52"/>
      <c r="AI3441" s="50"/>
      <c r="AL3441" s="50"/>
      <c r="AM3441" s="52"/>
      <c r="AN3441" s="52"/>
    </row>
    <row r="3442" spans="16:40" x14ac:dyDescent="0.2"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2"/>
      <c r="AA3442" s="52"/>
      <c r="AB3442" s="52"/>
      <c r="AC3442" s="52"/>
      <c r="AD3442" s="52"/>
      <c r="AE3442" s="52"/>
      <c r="AF3442" s="52"/>
      <c r="AG3442" s="52"/>
      <c r="AH3442" s="52"/>
      <c r="AI3442" s="50"/>
      <c r="AL3442" s="50"/>
      <c r="AM3442" s="52"/>
      <c r="AN3442" s="52"/>
    </row>
    <row r="3443" spans="16:40" x14ac:dyDescent="0.2">
      <c r="P3443" s="52"/>
      <c r="Q3443" s="52"/>
      <c r="R3443" s="52"/>
      <c r="S3443" s="52"/>
      <c r="T3443" s="52"/>
      <c r="U3443" s="52"/>
      <c r="V3443" s="52"/>
      <c r="W3443" s="52"/>
      <c r="X3443" s="52"/>
      <c r="Y3443" s="52"/>
      <c r="Z3443" s="52"/>
      <c r="AA3443" s="52"/>
      <c r="AB3443" s="52"/>
      <c r="AC3443" s="52"/>
      <c r="AD3443" s="52"/>
      <c r="AE3443" s="52"/>
      <c r="AF3443" s="52"/>
      <c r="AG3443" s="52"/>
      <c r="AH3443" s="52"/>
      <c r="AI3443" s="50"/>
      <c r="AL3443" s="50"/>
      <c r="AM3443" s="52"/>
      <c r="AN3443" s="52"/>
    </row>
    <row r="3444" spans="16:40" x14ac:dyDescent="0.2">
      <c r="P3444" s="52"/>
      <c r="Q3444" s="52"/>
      <c r="R3444" s="52"/>
      <c r="S3444" s="52"/>
      <c r="T3444" s="52"/>
      <c r="U3444" s="52"/>
      <c r="V3444" s="52"/>
      <c r="W3444" s="52"/>
      <c r="X3444" s="52"/>
      <c r="Y3444" s="52"/>
      <c r="Z3444" s="52"/>
      <c r="AA3444" s="52"/>
      <c r="AB3444" s="52"/>
      <c r="AC3444" s="52"/>
      <c r="AD3444" s="52"/>
      <c r="AE3444" s="52"/>
      <c r="AF3444" s="52"/>
      <c r="AG3444" s="52"/>
      <c r="AH3444" s="52"/>
      <c r="AI3444" s="50"/>
      <c r="AL3444" s="50"/>
      <c r="AM3444" s="52"/>
      <c r="AN3444" s="52"/>
    </row>
    <row r="3445" spans="16:40" x14ac:dyDescent="0.2">
      <c r="P3445" s="52"/>
      <c r="Q3445" s="52"/>
      <c r="R3445" s="52"/>
      <c r="S3445" s="52"/>
      <c r="T3445" s="52"/>
      <c r="U3445" s="52"/>
      <c r="V3445" s="52"/>
      <c r="W3445" s="52"/>
      <c r="X3445" s="52"/>
      <c r="Y3445" s="52"/>
      <c r="Z3445" s="52"/>
      <c r="AA3445" s="52"/>
      <c r="AB3445" s="52"/>
      <c r="AC3445" s="52"/>
      <c r="AD3445" s="52"/>
      <c r="AE3445" s="52"/>
      <c r="AF3445" s="52"/>
      <c r="AG3445" s="52"/>
      <c r="AH3445" s="52"/>
      <c r="AI3445" s="50"/>
      <c r="AL3445" s="50"/>
      <c r="AM3445" s="52"/>
      <c r="AN3445" s="52"/>
    </row>
    <row r="3446" spans="16:40" x14ac:dyDescent="0.2">
      <c r="P3446" s="52"/>
      <c r="Q3446" s="52"/>
      <c r="R3446" s="52"/>
      <c r="S3446" s="52"/>
      <c r="T3446" s="52"/>
      <c r="U3446" s="52"/>
      <c r="V3446" s="52"/>
      <c r="W3446" s="52"/>
      <c r="X3446" s="52"/>
      <c r="Y3446" s="52"/>
      <c r="Z3446" s="52"/>
      <c r="AA3446" s="52"/>
      <c r="AB3446" s="52"/>
      <c r="AC3446" s="52"/>
      <c r="AD3446" s="52"/>
      <c r="AE3446" s="52"/>
      <c r="AF3446" s="52"/>
      <c r="AG3446" s="52"/>
      <c r="AH3446" s="52"/>
      <c r="AI3446" s="50"/>
      <c r="AL3446" s="50"/>
      <c r="AM3446" s="52"/>
      <c r="AN3446" s="52"/>
    </row>
    <row r="3447" spans="16:40" x14ac:dyDescent="0.2">
      <c r="P3447" s="52"/>
      <c r="Q3447" s="52"/>
      <c r="R3447" s="52"/>
      <c r="S3447" s="52"/>
      <c r="T3447" s="52"/>
      <c r="U3447" s="52"/>
      <c r="V3447" s="52"/>
      <c r="W3447" s="52"/>
      <c r="X3447" s="52"/>
      <c r="Y3447" s="52"/>
      <c r="Z3447" s="52"/>
      <c r="AA3447" s="52"/>
      <c r="AB3447" s="52"/>
      <c r="AC3447" s="52"/>
      <c r="AD3447" s="52"/>
      <c r="AE3447" s="52"/>
      <c r="AF3447" s="52"/>
      <c r="AG3447" s="52"/>
      <c r="AH3447" s="52"/>
      <c r="AI3447" s="50"/>
      <c r="AL3447" s="50"/>
      <c r="AM3447" s="52"/>
      <c r="AN3447" s="52"/>
    </row>
    <row r="3448" spans="16:40" x14ac:dyDescent="0.2">
      <c r="P3448" s="52"/>
      <c r="Q3448" s="52"/>
      <c r="R3448" s="52"/>
      <c r="S3448" s="52"/>
      <c r="T3448" s="52"/>
      <c r="U3448" s="52"/>
      <c r="V3448" s="52"/>
      <c r="W3448" s="52"/>
      <c r="X3448" s="52"/>
      <c r="Y3448" s="52"/>
      <c r="Z3448" s="52"/>
      <c r="AA3448" s="52"/>
      <c r="AB3448" s="52"/>
      <c r="AC3448" s="52"/>
      <c r="AD3448" s="52"/>
      <c r="AE3448" s="52"/>
      <c r="AF3448" s="52"/>
      <c r="AG3448" s="52"/>
      <c r="AH3448" s="52"/>
      <c r="AI3448" s="50"/>
      <c r="AL3448" s="50"/>
      <c r="AM3448" s="52"/>
      <c r="AN3448" s="52"/>
    </row>
    <row r="3449" spans="16:40" x14ac:dyDescent="0.2">
      <c r="P3449" s="52"/>
      <c r="Q3449" s="52"/>
      <c r="R3449" s="52"/>
      <c r="S3449" s="52"/>
      <c r="T3449" s="52"/>
      <c r="U3449" s="52"/>
      <c r="V3449" s="52"/>
      <c r="W3449" s="52"/>
      <c r="X3449" s="52"/>
      <c r="Y3449" s="52"/>
      <c r="Z3449" s="52"/>
      <c r="AA3449" s="52"/>
      <c r="AB3449" s="52"/>
      <c r="AC3449" s="52"/>
      <c r="AD3449" s="52"/>
      <c r="AE3449" s="52"/>
      <c r="AF3449" s="52"/>
      <c r="AG3449" s="52"/>
      <c r="AH3449" s="52"/>
      <c r="AI3449" s="50"/>
      <c r="AL3449" s="50"/>
      <c r="AM3449" s="52"/>
      <c r="AN3449" s="52"/>
    </row>
    <row r="3450" spans="16:40" x14ac:dyDescent="0.2">
      <c r="P3450" s="52"/>
      <c r="Q3450" s="52"/>
      <c r="R3450" s="52"/>
      <c r="S3450" s="52"/>
      <c r="T3450" s="52"/>
      <c r="U3450" s="52"/>
      <c r="V3450" s="52"/>
      <c r="W3450" s="52"/>
      <c r="X3450" s="52"/>
      <c r="Y3450" s="52"/>
      <c r="Z3450" s="52"/>
      <c r="AA3450" s="52"/>
      <c r="AB3450" s="52"/>
      <c r="AC3450" s="52"/>
      <c r="AD3450" s="52"/>
      <c r="AE3450" s="52"/>
      <c r="AF3450" s="52"/>
      <c r="AG3450" s="52"/>
      <c r="AH3450" s="52"/>
      <c r="AI3450" s="50"/>
      <c r="AL3450" s="50"/>
      <c r="AM3450" s="52"/>
      <c r="AN3450" s="52"/>
    </row>
    <row r="3451" spans="16:40" x14ac:dyDescent="0.2">
      <c r="P3451" s="52"/>
      <c r="Q3451" s="52"/>
      <c r="R3451" s="52"/>
      <c r="S3451" s="52"/>
      <c r="T3451" s="52"/>
      <c r="U3451" s="52"/>
      <c r="V3451" s="52"/>
      <c r="W3451" s="52"/>
      <c r="X3451" s="52"/>
      <c r="Y3451" s="52"/>
      <c r="Z3451" s="52"/>
      <c r="AA3451" s="52"/>
      <c r="AB3451" s="52"/>
      <c r="AC3451" s="52"/>
      <c r="AD3451" s="52"/>
      <c r="AE3451" s="52"/>
      <c r="AF3451" s="52"/>
      <c r="AG3451" s="52"/>
      <c r="AH3451" s="52"/>
      <c r="AI3451" s="50"/>
      <c r="AL3451" s="50"/>
      <c r="AM3451" s="52"/>
      <c r="AN3451" s="52"/>
    </row>
    <row r="3452" spans="16:40" x14ac:dyDescent="0.2">
      <c r="P3452" s="52"/>
      <c r="Q3452" s="52"/>
      <c r="R3452" s="52"/>
      <c r="S3452" s="52"/>
      <c r="T3452" s="52"/>
      <c r="U3452" s="52"/>
      <c r="V3452" s="52"/>
      <c r="W3452" s="52"/>
      <c r="X3452" s="52"/>
      <c r="Y3452" s="52"/>
      <c r="Z3452" s="52"/>
      <c r="AA3452" s="52"/>
      <c r="AB3452" s="52"/>
      <c r="AC3452" s="52"/>
      <c r="AD3452" s="52"/>
      <c r="AE3452" s="52"/>
      <c r="AF3452" s="52"/>
      <c r="AG3452" s="52"/>
      <c r="AH3452" s="52"/>
      <c r="AI3452" s="50"/>
      <c r="AL3452" s="50"/>
      <c r="AM3452" s="52"/>
      <c r="AN3452" s="52"/>
    </row>
    <row r="3453" spans="16:40" x14ac:dyDescent="0.2">
      <c r="P3453" s="52"/>
      <c r="Q3453" s="52"/>
      <c r="R3453" s="52"/>
      <c r="S3453" s="52"/>
      <c r="T3453" s="52"/>
      <c r="U3453" s="52"/>
      <c r="V3453" s="52"/>
      <c r="W3453" s="52"/>
      <c r="X3453" s="52"/>
      <c r="Y3453" s="52"/>
      <c r="Z3453" s="52"/>
      <c r="AA3453" s="52"/>
      <c r="AB3453" s="52"/>
      <c r="AC3453" s="52"/>
      <c r="AD3453" s="52"/>
      <c r="AE3453" s="52"/>
      <c r="AF3453" s="52"/>
      <c r="AG3453" s="52"/>
      <c r="AH3453" s="52"/>
      <c r="AI3453" s="50"/>
      <c r="AL3453" s="50"/>
      <c r="AM3453" s="52"/>
      <c r="AN3453" s="52"/>
    </row>
    <row r="3454" spans="16:40" x14ac:dyDescent="0.2">
      <c r="P3454" s="52"/>
      <c r="Q3454" s="52"/>
      <c r="R3454" s="52"/>
      <c r="S3454" s="52"/>
      <c r="T3454" s="52"/>
      <c r="U3454" s="52"/>
      <c r="V3454" s="52"/>
      <c r="W3454" s="52"/>
      <c r="X3454" s="52"/>
      <c r="Y3454" s="52"/>
      <c r="Z3454" s="52"/>
      <c r="AA3454" s="52"/>
      <c r="AB3454" s="52"/>
      <c r="AC3454" s="52"/>
      <c r="AD3454" s="52"/>
      <c r="AE3454" s="52"/>
      <c r="AF3454" s="52"/>
      <c r="AG3454" s="52"/>
      <c r="AH3454" s="52"/>
      <c r="AI3454" s="50"/>
      <c r="AL3454" s="50"/>
      <c r="AM3454" s="52"/>
      <c r="AN3454" s="52"/>
    </row>
    <row r="3455" spans="16:40" x14ac:dyDescent="0.2">
      <c r="P3455" s="52"/>
      <c r="Q3455" s="52"/>
      <c r="R3455" s="52"/>
      <c r="S3455" s="52"/>
      <c r="T3455" s="52"/>
      <c r="U3455" s="52"/>
      <c r="V3455" s="52"/>
      <c r="W3455" s="52"/>
      <c r="X3455" s="52"/>
      <c r="Y3455" s="52"/>
      <c r="Z3455" s="52"/>
      <c r="AA3455" s="52"/>
      <c r="AB3455" s="52"/>
      <c r="AC3455" s="52"/>
      <c r="AD3455" s="52"/>
      <c r="AE3455" s="52"/>
      <c r="AF3455" s="52"/>
      <c r="AG3455" s="52"/>
      <c r="AH3455" s="52"/>
      <c r="AI3455" s="50"/>
      <c r="AL3455" s="50"/>
      <c r="AM3455" s="52"/>
      <c r="AN3455" s="52"/>
    </row>
    <row r="3456" spans="16:40" x14ac:dyDescent="0.2">
      <c r="P3456" s="52"/>
      <c r="Q3456" s="52"/>
      <c r="R3456" s="52"/>
      <c r="S3456" s="52"/>
      <c r="T3456" s="52"/>
      <c r="U3456" s="52"/>
      <c r="V3456" s="52"/>
      <c r="W3456" s="52"/>
      <c r="X3456" s="52"/>
      <c r="Y3456" s="52"/>
      <c r="Z3456" s="52"/>
      <c r="AA3456" s="52"/>
      <c r="AB3456" s="52"/>
      <c r="AC3456" s="52"/>
      <c r="AD3456" s="52"/>
      <c r="AE3456" s="52"/>
      <c r="AF3456" s="52"/>
      <c r="AG3456" s="52"/>
      <c r="AH3456" s="52"/>
      <c r="AI3456" s="50"/>
      <c r="AL3456" s="50"/>
      <c r="AM3456" s="52"/>
      <c r="AN3456" s="52"/>
    </row>
    <row r="3457" spans="16:40" x14ac:dyDescent="0.2">
      <c r="P3457" s="52"/>
      <c r="Q3457" s="52"/>
      <c r="R3457" s="52"/>
      <c r="S3457" s="52"/>
      <c r="T3457" s="52"/>
      <c r="U3457" s="52"/>
      <c r="V3457" s="52"/>
      <c r="W3457" s="52"/>
      <c r="X3457" s="52"/>
      <c r="Y3457" s="52"/>
      <c r="Z3457" s="52"/>
      <c r="AA3457" s="52"/>
      <c r="AB3457" s="52"/>
      <c r="AC3457" s="52"/>
      <c r="AD3457" s="52"/>
      <c r="AE3457" s="52"/>
      <c r="AF3457" s="52"/>
      <c r="AG3457" s="52"/>
      <c r="AH3457" s="52"/>
      <c r="AI3457" s="50"/>
      <c r="AL3457" s="50"/>
      <c r="AM3457" s="52"/>
      <c r="AN3457" s="52"/>
    </row>
    <row r="3458" spans="16:40" x14ac:dyDescent="0.2">
      <c r="P3458" s="52"/>
      <c r="Q3458" s="52"/>
      <c r="R3458" s="52"/>
      <c r="S3458" s="52"/>
      <c r="T3458" s="52"/>
      <c r="U3458" s="52"/>
      <c r="V3458" s="52"/>
      <c r="W3458" s="52"/>
      <c r="X3458" s="52"/>
      <c r="Y3458" s="52"/>
      <c r="Z3458" s="52"/>
      <c r="AA3458" s="52"/>
      <c r="AB3458" s="52"/>
      <c r="AC3458" s="52"/>
      <c r="AD3458" s="52"/>
      <c r="AE3458" s="52"/>
      <c r="AF3458" s="52"/>
      <c r="AG3458" s="52"/>
      <c r="AH3458" s="52"/>
      <c r="AI3458" s="50"/>
      <c r="AL3458" s="50"/>
      <c r="AM3458" s="52"/>
      <c r="AN3458" s="52"/>
    </row>
    <row r="3459" spans="16:40" x14ac:dyDescent="0.2">
      <c r="P3459" s="52"/>
      <c r="Q3459" s="52"/>
      <c r="R3459" s="52"/>
      <c r="S3459" s="52"/>
      <c r="T3459" s="52"/>
      <c r="U3459" s="52"/>
      <c r="V3459" s="52"/>
      <c r="W3459" s="52"/>
      <c r="X3459" s="52"/>
      <c r="Y3459" s="52"/>
      <c r="Z3459" s="52"/>
      <c r="AA3459" s="52"/>
      <c r="AB3459" s="52"/>
      <c r="AC3459" s="52"/>
      <c r="AD3459" s="52"/>
      <c r="AE3459" s="52"/>
      <c r="AF3459" s="52"/>
      <c r="AG3459" s="52"/>
      <c r="AH3459" s="52"/>
      <c r="AI3459" s="50"/>
      <c r="AL3459" s="50"/>
      <c r="AM3459" s="52"/>
      <c r="AN3459" s="52"/>
    </row>
    <row r="3460" spans="16:40" x14ac:dyDescent="0.2">
      <c r="P3460" s="52"/>
      <c r="Q3460" s="52"/>
      <c r="R3460" s="52"/>
      <c r="S3460" s="52"/>
      <c r="T3460" s="52"/>
      <c r="U3460" s="52"/>
      <c r="V3460" s="52"/>
      <c r="W3460" s="52"/>
      <c r="X3460" s="52"/>
      <c r="Y3460" s="52"/>
      <c r="Z3460" s="52"/>
      <c r="AA3460" s="52"/>
      <c r="AB3460" s="52"/>
      <c r="AC3460" s="52"/>
      <c r="AD3460" s="52"/>
      <c r="AE3460" s="52"/>
      <c r="AF3460" s="52"/>
      <c r="AG3460" s="52"/>
      <c r="AH3460" s="52"/>
      <c r="AI3460" s="50"/>
      <c r="AL3460" s="50"/>
      <c r="AM3460" s="52"/>
      <c r="AN3460" s="52"/>
    </row>
    <row r="3461" spans="16:40" x14ac:dyDescent="0.2">
      <c r="P3461" s="52"/>
      <c r="Q3461" s="52"/>
      <c r="R3461" s="52"/>
      <c r="S3461" s="52"/>
      <c r="T3461" s="52"/>
      <c r="U3461" s="52"/>
      <c r="V3461" s="52"/>
      <c r="W3461" s="52"/>
      <c r="X3461" s="52"/>
      <c r="Y3461" s="52"/>
      <c r="Z3461" s="52"/>
      <c r="AA3461" s="52"/>
      <c r="AB3461" s="52"/>
      <c r="AC3461" s="52"/>
      <c r="AD3461" s="52"/>
      <c r="AE3461" s="52"/>
      <c r="AF3461" s="52"/>
      <c r="AG3461" s="52"/>
      <c r="AH3461" s="52"/>
      <c r="AI3461" s="50"/>
      <c r="AL3461" s="50"/>
      <c r="AM3461" s="52"/>
      <c r="AN3461" s="52"/>
    </row>
    <row r="3462" spans="16:40" x14ac:dyDescent="0.2">
      <c r="P3462" s="52"/>
      <c r="Q3462" s="52"/>
      <c r="R3462" s="52"/>
      <c r="S3462" s="52"/>
      <c r="T3462" s="52"/>
      <c r="U3462" s="52"/>
      <c r="V3462" s="52"/>
      <c r="W3462" s="52"/>
      <c r="X3462" s="52"/>
      <c r="Y3462" s="52"/>
      <c r="Z3462" s="52"/>
      <c r="AA3462" s="52"/>
      <c r="AB3462" s="52"/>
      <c r="AC3462" s="52"/>
      <c r="AD3462" s="52"/>
      <c r="AE3462" s="52"/>
      <c r="AF3462" s="52"/>
      <c r="AG3462" s="52"/>
      <c r="AH3462" s="52"/>
      <c r="AI3462" s="50"/>
      <c r="AL3462" s="50"/>
      <c r="AM3462" s="52"/>
      <c r="AN3462" s="52"/>
    </row>
    <row r="3463" spans="16:40" x14ac:dyDescent="0.2">
      <c r="P3463" s="52"/>
      <c r="Q3463" s="52"/>
      <c r="R3463" s="52"/>
      <c r="S3463" s="52"/>
      <c r="T3463" s="52"/>
      <c r="U3463" s="52"/>
      <c r="V3463" s="52"/>
      <c r="W3463" s="52"/>
      <c r="X3463" s="52"/>
      <c r="Y3463" s="52"/>
      <c r="Z3463" s="52"/>
      <c r="AA3463" s="52"/>
      <c r="AB3463" s="52"/>
      <c r="AC3463" s="52"/>
      <c r="AD3463" s="52"/>
      <c r="AE3463" s="52"/>
      <c r="AF3463" s="52"/>
      <c r="AG3463" s="52"/>
      <c r="AH3463" s="52"/>
      <c r="AI3463" s="50"/>
      <c r="AL3463" s="50"/>
      <c r="AM3463" s="52"/>
      <c r="AN3463" s="52"/>
    </row>
    <row r="3464" spans="16:40" x14ac:dyDescent="0.2">
      <c r="P3464" s="52"/>
      <c r="Q3464" s="52"/>
      <c r="R3464" s="52"/>
      <c r="S3464" s="52"/>
      <c r="T3464" s="52"/>
      <c r="U3464" s="52"/>
      <c r="V3464" s="52"/>
      <c r="W3464" s="52"/>
      <c r="X3464" s="52"/>
      <c r="Y3464" s="52"/>
      <c r="Z3464" s="52"/>
      <c r="AA3464" s="52"/>
      <c r="AB3464" s="52"/>
      <c r="AC3464" s="52"/>
      <c r="AD3464" s="52"/>
      <c r="AE3464" s="52"/>
      <c r="AF3464" s="52"/>
      <c r="AG3464" s="52"/>
      <c r="AH3464" s="52"/>
      <c r="AI3464" s="50"/>
      <c r="AL3464" s="50"/>
      <c r="AM3464" s="52"/>
      <c r="AN3464" s="52"/>
    </row>
    <row r="3465" spans="16:40" x14ac:dyDescent="0.2">
      <c r="P3465" s="52"/>
      <c r="Q3465" s="52"/>
      <c r="R3465" s="52"/>
      <c r="S3465" s="52"/>
      <c r="T3465" s="52"/>
      <c r="U3465" s="52"/>
      <c r="V3465" s="52"/>
      <c r="W3465" s="52"/>
      <c r="X3465" s="52"/>
      <c r="Y3465" s="52"/>
      <c r="Z3465" s="52"/>
      <c r="AA3465" s="52"/>
      <c r="AB3465" s="52"/>
      <c r="AC3465" s="52"/>
      <c r="AD3465" s="52"/>
      <c r="AE3465" s="52"/>
      <c r="AF3465" s="52"/>
      <c r="AG3465" s="52"/>
      <c r="AH3465" s="52"/>
      <c r="AI3465" s="50"/>
      <c r="AL3465" s="50"/>
      <c r="AM3465" s="52"/>
      <c r="AN3465" s="52"/>
    </row>
    <row r="3466" spans="16:40" x14ac:dyDescent="0.2">
      <c r="P3466" s="52"/>
      <c r="Q3466" s="52"/>
      <c r="R3466" s="52"/>
      <c r="S3466" s="52"/>
      <c r="T3466" s="52"/>
      <c r="U3466" s="52"/>
      <c r="V3466" s="52"/>
      <c r="W3466" s="52"/>
      <c r="X3466" s="52"/>
      <c r="Y3466" s="52"/>
      <c r="Z3466" s="52"/>
      <c r="AA3466" s="52"/>
      <c r="AB3466" s="52"/>
      <c r="AC3466" s="52"/>
      <c r="AD3466" s="52"/>
      <c r="AE3466" s="52"/>
      <c r="AF3466" s="52"/>
      <c r="AG3466" s="52"/>
      <c r="AH3466" s="52"/>
      <c r="AI3466" s="50"/>
      <c r="AL3466" s="50"/>
      <c r="AM3466" s="52"/>
      <c r="AN3466" s="52"/>
    </row>
    <row r="3467" spans="16:40" x14ac:dyDescent="0.2">
      <c r="P3467" s="52"/>
      <c r="Q3467" s="52"/>
      <c r="R3467" s="52"/>
      <c r="S3467" s="52"/>
      <c r="T3467" s="52"/>
      <c r="U3467" s="52"/>
      <c r="V3467" s="52"/>
      <c r="W3467" s="52"/>
      <c r="X3467" s="52"/>
      <c r="Y3467" s="52"/>
      <c r="Z3467" s="52"/>
      <c r="AA3467" s="52"/>
      <c r="AB3467" s="52"/>
      <c r="AC3467" s="52"/>
      <c r="AD3467" s="52"/>
      <c r="AE3467" s="52"/>
      <c r="AF3467" s="52"/>
      <c r="AG3467" s="52"/>
      <c r="AH3467" s="52"/>
      <c r="AI3467" s="50"/>
      <c r="AL3467" s="50"/>
      <c r="AM3467" s="52"/>
      <c r="AN3467" s="52"/>
    </row>
    <row r="3468" spans="16:40" x14ac:dyDescent="0.2">
      <c r="P3468" s="52"/>
      <c r="Q3468" s="52"/>
      <c r="R3468" s="52"/>
      <c r="S3468" s="52"/>
      <c r="T3468" s="52"/>
      <c r="U3468" s="52"/>
      <c r="V3468" s="52"/>
      <c r="W3468" s="52"/>
      <c r="X3468" s="52"/>
      <c r="Y3468" s="52"/>
      <c r="Z3468" s="52"/>
      <c r="AA3468" s="52"/>
      <c r="AB3468" s="52"/>
      <c r="AC3468" s="52"/>
      <c r="AD3468" s="52"/>
      <c r="AE3468" s="52"/>
      <c r="AF3468" s="52"/>
      <c r="AG3468" s="52"/>
      <c r="AH3468" s="52"/>
      <c r="AI3468" s="50"/>
      <c r="AL3468" s="50"/>
      <c r="AM3468" s="52"/>
      <c r="AN3468" s="52"/>
    </row>
    <row r="3469" spans="16:40" x14ac:dyDescent="0.2">
      <c r="P3469" s="52"/>
      <c r="Q3469" s="52"/>
      <c r="R3469" s="52"/>
      <c r="S3469" s="52"/>
      <c r="T3469" s="52"/>
      <c r="U3469" s="52"/>
      <c r="V3469" s="52"/>
      <c r="W3469" s="52"/>
      <c r="X3469" s="52"/>
      <c r="Y3469" s="52"/>
      <c r="Z3469" s="52"/>
      <c r="AA3469" s="52"/>
      <c r="AB3469" s="52"/>
      <c r="AC3469" s="52"/>
      <c r="AD3469" s="52"/>
      <c r="AE3469" s="52"/>
      <c r="AF3469" s="52"/>
      <c r="AG3469" s="52"/>
      <c r="AH3469" s="52"/>
      <c r="AI3469" s="50"/>
      <c r="AL3469" s="50"/>
      <c r="AM3469" s="52"/>
      <c r="AN3469" s="52"/>
    </row>
    <row r="3470" spans="16:40" x14ac:dyDescent="0.2">
      <c r="P3470" s="52"/>
      <c r="Q3470" s="52"/>
      <c r="R3470" s="52"/>
      <c r="S3470" s="52"/>
      <c r="T3470" s="52"/>
      <c r="U3470" s="52"/>
      <c r="V3470" s="52"/>
      <c r="W3470" s="52"/>
      <c r="X3470" s="52"/>
      <c r="Y3470" s="52"/>
      <c r="Z3470" s="52"/>
      <c r="AA3470" s="52"/>
      <c r="AB3470" s="52"/>
      <c r="AC3470" s="52"/>
      <c r="AD3470" s="52"/>
      <c r="AE3470" s="52"/>
      <c r="AF3470" s="52"/>
      <c r="AG3470" s="52"/>
      <c r="AH3470" s="52"/>
      <c r="AI3470" s="50"/>
      <c r="AL3470" s="50"/>
      <c r="AM3470" s="52"/>
      <c r="AN3470" s="52"/>
    </row>
    <row r="3471" spans="16:40" x14ac:dyDescent="0.2">
      <c r="P3471" s="52"/>
      <c r="Q3471" s="52"/>
      <c r="R3471" s="52"/>
      <c r="S3471" s="52"/>
      <c r="T3471" s="52"/>
      <c r="U3471" s="52"/>
      <c r="V3471" s="52"/>
      <c r="W3471" s="52"/>
      <c r="X3471" s="52"/>
      <c r="Y3471" s="52"/>
      <c r="Z3471" s="52"/>
      <c r="AA3471" s="52"/>
      <c r="AB3471" s="52"/>
      <c r="AC3471" s="52"/>
      <c r="AD3471" s="52"/>
      <c r="AE3471" s="52"/>
      <c r="AF3471" s="52"/>
      <c r="AG3471" s="52"/>
      <c r="AH3471" s="52"/>
      <c r="AI3471" s="50"/>
      <c r="AL3471" s="50"/>
      <c r="AM3471" s="52"/>
      <c r="AN3471" s="52"/>
    </row>
    <row r="3472" spans="16:40" x14ac:dyDescent="0.2">
      <c r="P3472" s="52"/>
      <c r="Q3472" s="52"/>
      <c r="R3472" s="52"/>
      <c r="S3472" s="52"/>
      <c r="T3472" s="52"/>
      <c r="U3472" s="52"/>
      <c r="V3472" s="52"/>
      <c r="W3472" s="52"/>
      <c r="X3472" s="52"/>
      <c r="Y3472" s="52"/>
      <c r="Z3472" s="52"/>
      <c r="AA3472" s="52"/>
      <c r="AB3472" s="52"/>
      <c r="AC3472" s="52"/>
      <c r="AD3472" s="52"/>
      <c r="AE3472" s="52"/>
      <c r="AF3472" s="52"/>
      <c r="AG3472" s="52"/>
      <c r="AH3472" s="52"/>
      <c r="AI3472" s="50"/>
      <c r="AL3472" s="50"/>
      <c r="AM3472" s="52"/>
      <c r="AN3472" s="52"/>
    </row>
    <row r="3473" spans="16:40" x14ac:dyDescent="0.2">
      <c r="P3473" s="52"/>
      <c r="Q3473" s="52"/>
      <c r="R3473" s="52"/>
      <c r="S3473" s="52"/>
      <c r="T3473" s="52"/>
      <c r="U3473" s="52"/>
      <c r="V3473" s="52"/>
      <c r="W3473" s="52"/>
      <c r="X3473" s="52"/>
      <c r="Y3473" s="52"/>
      <c r="Z3473" s="52"/>
      <c r="AA3473" s="52"/>
      <c r="AB3473" s="52"/>
      <c r="AC3473" s="52"/>
      <c r="AD3473" s="52"/>
      <c r="AE3473" s="52"/>
      <c r="AF3473" s="52"/>
      <c r="AG3473" s="52"/>
      <c r="AH3473" s="52"/>
      <c r="AI3473" s="50"/>
      <c r="AL3473" s="50"/>
      <c r="AM3473" s="52"/>
      <c r="AN3473" s="52"/>
    </row>
    <row r="3474" spans="16:40" x14ac:dyDescent="0.2">
      <c r="P3474" s="52"/>
      <c r="Q3474" s="52"/>
      <c r="R3474" s="52"/>
      <c r="S3474" s="52"/>
      <c r="T3474" s="52"/>
      <c r="U3474" s="52"/>
      <c r="V3474" s="52"/>
      <c r="W3474" s="52"/>
      <c r="X3474" s="52"/>
      <c r="Y3474" s="52"/>
      <c r="Z3474" s="52"/>
      <c r="AA3474" s="52"/>
      <c r="AB3474" s="52"/>
      <c r="AC3474" s="52"/>
      <c r="AD3474" s="52"/>
      <c r="AE3474" s="52"/>
      <c r="AF3474" s="52"/>
      <c r="AG3474" s="52"/>
      <c r="AH3474" s="52"/>
      <c r="AI3474" s="50"/>
      <c r="AL3474" s="50"/>
      <c r="AM3474" s="52"/>
      <c r="AN3474" s="52"/>
    </row>
    <row r="3475" spans="16:40" x14ac:dyDescent="0.2">
      <c r="P3475" s="52"/>
      <c r="Q3475" s="52"/>
      <c r="R3475" s="52"/>
      <c r="S3475" s="52"/>
      <c r="T3475" s="52"/>
      <c r="U3475" s="52"/>
      <c r="V3475" s="52"/>
      <c r="W3475" s="52"/>
      <c r="X3475" s="52"/>
      <c r="Y3475" s="52"/>
      <c r="Z3475" s="52"/>
      <c r="AA3475" s="52"/>
      <c r="AB3475" s="52"/>
      <c r="AC3475" s="52"/>
      <c r="AD3475" s="52"/>
      <c r="AE3475" s="52"/>
      <c r="AF3475" s="52"/>
      <c r="AG3475" s="52"/>
      <c r="AH3475" s="52"/>
      <c r="AI3475" s="50"/>
      <c r="AL3475" s="50"/>
      <c r="AM3475" s="52"/>
      <c r="AN3475" s="52"/>
    </row>
    <row r="3476" spans="16:40" x14ac:dyDescent="0.2">
      <c r="P3476" s="52"/>
      <c r="Q3476" s="52"/>
      <c r="R3476" s="52"/>
      <c r="S3476" s="52"/>
      <c r="T3476" s="52"/>
      <c r="U3476" s="52"/>
      <c r="V3476" s="52"/>
      <c r="W3476" s="52"/>
      <c r="X3476" s="52"/>
      <c r="Y3476" s="52"/>
      <c r="Z3476" s="52"/>
      <c r="AA3476" s="52"/>
      <c r="AB3476" s="52"/>
      <c r="AC3476" s="52"/>
      <c r="AD3476" s="52"/>
      <c r="AE3476" s="52"/>
      <c r="AF3476" s="52"/>
      <c r="AG3476" s="52"/>
      <c r="AH3476" s="52"/>
      <c r="AI3476" s="50"/>
      <c r="AL3476" s="50"/>
      <c r="AM3476" s="52"/>
      <c r="AN3476" s="52"/>
    </row>
    <row r="3477" spans="16:40" x14ac:dyDescent="0.2">
      <c r="P3477" s="52"/>
      <c r="Q3477" s="52"/>
      <c r="R3477" s="52"/>
      <c r="S3477" s="52"/>
      <c r="T3477" s="52"/>
      <c r="U3477" s="52"/>
      <c r="V3477" s="52"/>
      <c r="W3477" s="52"/>
      <c r="X3477" s="52"/>
      <c r="Y3477" s="52"/>
      <c r="Z3477" s="52"/>
      <c r="AA3477" s="52"/>
      <c r="AB3477" s="52"/>
      <c r="AC3477" s="52"/>
      <c r="AD3477" s="52"/>
      <c r="AE3477" s="52"/>
      <c r="AF3477" s="52"/>
      <c r="AG3477" s="52"/>
      <c r="AH3477" s="52"/>
      <c r="AI3477" s="50"/>
      <c r="AL3477" s="50"/>
      <c r="AM3477" s="52"/>
      <c r="AN3477" s="52"/>
    </row>
    <row r="3478" spans="16:40" x14ac:dyDescent="0.2">
      <c r="P3478" s="52"/>
      <c r="Q3478" s="52"/>
      <c r="R3478" s="52"/>
      <c r="S3478" s="52"/>
      <c r="T3478" s="52"/>
      <c r="U3478" s="52"/>
      <c r="V3478" s="52"/>
      <c r="W3478" s="52"/>
      <c r="X3478" s="52"/>
      <c r="Y3478" s="52"/>
      <c r="Z3478" s="52"/>
      <c r="AA3478" s="52"/>
      <c r="AB3478" s="52"/>
      <c r="AC3478" s="52"/>
      <c r="AD3478" s="52"/>
      <c r="AE3478" s="52"/>
      <c r="AF3478" s="52"/>
      <c r="AG3478" s="52"/>
      <c r="AH3478" s="52"/>
      <c r="AI3478" s="50"/>
      <c r="AL3478" s="50"/>
      <c r="AM3478" s="52"/>
      <c r="AN3478" s="52"/>
    </row>
    <row r="3479" spans="16:40" x14ac:dyDescent="0.2">
      <c r="P3479" s="52"/>
      <c r="Q3479" s="52"/>
      <c r="R3479" s="52"/>
      <c r="S3479" s="52"/>
      <c r="T3479" s="52"/>
      <c r="U3479" s="52"/>
      <c r="V3479" s="52"/>
      <c r="W3479" s="52"/>
      <c r="X3479" s="52"/>
      <c r="Y3479" s="52"/>
      <c r="Z3479" s="52"/>
      <c r="AA3479" s="52"/>
      <c r="AB3479" s="52"/>
      <c r="AC3479" s="52"/>
      <c r="AD3479" s="52"/>
      <c r="AE3479" s="52"/>
      <c r="AF3479" s="52"/>
      <c r="AG3479" s="52"/>
      <c r="AH3479" s="52"/>
      <c r="AI3479" s="50"/>
      <c r="AL3479" s="50"/>
      <c r="AM3479" s="52"/>
      <c r="AN3479" s="52"/>
    </row>
    <row r="3480" spans="16:40" x14ac:dyDescent="0.2"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2"/>
      <c r="AA3480" s="52"/>
      <c r="AB3480" s="52"/>
      <c r="AC3480" s="52"/>
      <c r="AD3480" s="52"/>
      <c r="AE3480" s="52"/>
      <c r="AF3480" s="52"/>
      <c r="AG3480" s="52"/>
      <c r="AH3480" s="52"/>
      <c r="AI3480" s="50"/>
      <c r="AL3480" s="50"/>
      <c r="AM3480" s="52"/>
      <c r="AN3480" s="52"/>
    </row>
    <row r="3481" spans="16:40" x14ac:dyDescent="0.2">
      <c r="P3481" s="52"/>
      <c r="Q3481" s="52"/>
      <c r="R3481" s="52"/>
      <c r="S3481" s="52"/>
      <c r="T3481" s="52"/>
      <c r="U3481" s="52"/>
      <c r="V3481" s="52"/>
      <c r="W3481" s="52"/>
      <c r="X3481" s="52"/>
      <c r="Y3481" s="52"/>
      <c r="Z3481" s="52"/>
      <c r="AA3481" s="52"/>
      <c r="AB3481" s="52"/>
      <c r="AC3481" s="52"/>
      <c r="AD3481" s="52"/>
      <c r="AE3481" s="52"/>
      <c r="AF3481" s="52"/>
      <c r="AG3481" s="52"/>
      <c r="AH3481" s="52"/>
      <c r="AI3481" s="50"/>
      <c r="AL3481" s="50"/>
      <c r="AM3481" s="52"/>
      <c r="AN3481" s="52"/>
    </row>
    <row r="3482" spans="16:40" x14ac:dyDescent="0.2">
      <c r="P3482" s="52"/>
      <c r="Q3482" s="52"/>
      <c r="R3482" s="52"/>
      <c r="S3482" s="52"/>
      <c r="T3482" s="52"/>
      <c r="U3482" s="52"/>
      <c r="V3482" s="52"/>
      <c r="W3482" s="52"/>
      <c r="X3482" s="52"/>
      <c r="Y3482" s="52"/>
      <c r="Z3482" s="52"/>
      <c r="AA3482" s="52"/>
      <c r="AB3482" s="52"/>
      <c r="AC3482" s="52"/>
      <c r="AD3482" s="52"/>
      <c r="AE3482" s="52"/>
      <c r="AF3482" s="52"/>
      <c r="AG3482" s="52"/>
      <c r="AH3482" s="52"/>
      <c r="AI3482" s="50"/>
      <c r="AL3482" s="50"/>
      <c r="AM3482" s="52"/>
      <c r="AN3482" s="52"/>
    </row>
    <row r="3483" spans="16:40" x14ac:dyDescent="0.2">
      <c r="P3483" s="52"/>
      <c r="Q3483" s="52"/>
      <c r="R3483" s="52"/>
      <c r="S3483" s="52"/>
      <c r="T3483" s="52"/>
      <c r="U3483" s="52"/>
      <c r="V3483" s="52"/>
      <c r="W3483" s="52"/>
      <c r="X3483" s="52"/>
      <c r="Y3483" s="52"/>
      <c r="Z3483" s="52"/>
      <c r="AA3483" s="52"/>
      <c r="AB3483" s="52"/>
      <c r="AC3483" s="52"/>
      <c r="AD3483" s="52"/>
      <c r="AE3483" s="52"/>
      <c r="AF3483" s="52"/>
      <c r="AG3483" s="52"/>
      <c r="AH3483" s="52"/>
      <c r="AI3483" s="50"/>
      <c r="AL3483" s="50"/>
      <c r="AM3483" s="52"/>
      <c r="AN3483" s="52"/>
    </row>
    <row r="3484" spans="16:40" x14ac:dyDescent="0.2">
      <c r="P3484" s="52"/>
      <c r="Q3484" s="52"/>
      <c r="R3484" s="52"/>
      <c r="S3484" s="52"/>
      <c r="T3484" s="52"/>
      <c r="U3484" s="52"/>
      <c r="V3484" s="52"/>
      <c r="W3484" s="52"/>
      <c r="X3484" s="52"/>
      <c r="Y3484" s="52"/>
      <c r="Z3484" s="52"/>
      <c r="AA3484" s="52"/>
      <c r="AB3484" s="52"/>
      <c r="AC3484" s="52"/>
      <c r="AD3484" s="52"/>
      <c r="AE3484" s="52"/>
      <c r="AF3484" s="52"/>
      <c r="AG3484" s="52"/>
      <c r="AH3484" s="52"/>
      <c r="AI3484" s="50"/>
      <c r="AL3484" s="50"/>
      <c r="AM3484" s="52"/>
      <c r="AN3484" s="52"/>
    </row>
    <row r="3485" spans="16:40" x14ac:dyDescent="0.2">
      <c r="P3485" s="52"/>
      <c r="Q3485" s="52"/>
      <c r="R3485" s="52"/>
      <c r="S3485" s="52"/>
      <c r="T3485" s="52"/>
      <c r="U3485" s="52"/>
      <c r="V3485" s="52"/>
      <c r="W3485" s="52"/>
      <c r="X3485" s="52"/>
      <c r="Y3485" s="52"/>
      <c r="Z3485" s="52"/>
      <c r="AA3485" s="52"/>
      <c r="AB3485" s="52"/>
      <c r="AC3485" s="52"/>
      <c r="AD3485" s="52"/>
      <c r="AE3485" s="52"/>
      <c r="AF3485" s="52"/>
      <c r="AG3485" s="52"/>
      <c r="AH3485" s="52"/>
      <c r="AI3485" s="50"/>
      <c r="AL3485" s="50"/>
      <c r="AM3485" s="52"/>
      <c r="AN3485" s="52"/>
    </row>
    <row r="3486" spans="16:40" x14ac:dyDescent="0.2">
      <c r="P3486" s="52"/>
      <c r="Q3486" s="52"/>
      <c r="R3486" s="52"/>
      <c r="S3486" s="52"/>
      <c r="T3486" s="52"/>
      <c r="U3486" s="52"/>
      <c r="V3486" s="52"/>
      <c r="W3486" s="52"/>
      <c r="X3486" s="52"/>
      <c r="Y3486" s="52"/>
      <c r="Z3486" s="52"/>
      <c r="AA3486" s="52"/>
      <c r="AB3486" s="52"/>
      <c r="AC3486" s="52"/>
      <c r="AD3486" s="52"/>
      <c r="AE3486" s="52"/>
      <c r="AF3486" s="52"/>
      <c r="AG3486" s="52"/>
      <c r="AH3486" s="52"/>
      <c r="AI3486" s="50"/>
      <c r="AL3486" s="50"/>
      <c r="AM3486" s="52"/>
      <c r="AN3486" s="52"/>
    </row>
    <row r="3487" spans="16:40" x14ac:dyDescent="0.2">
      <c r="P3487" s="52"/>
      <c r="Q3487" s="52"/>
      <c r="R3487" s="52"/>
      <c r="S3487" s="52"/>
      <c r="T3487" s="52"/>
      <c r="U3487" s="52"/>
      <c r="V3487" s="52"/>
      <c r="W3487" s="52"/>
      <c r="X3487" s="52"/>
      <c r="Y3487" s="52"/>
      <c r="Z3487" s="52"/>
      <c r="AA3487" s="52"/>
      <c r="AB3487" s="52"/>
      <c r="AC3487" s="52"/>
      <c r="AD3487" s="52"/>
      <c r="AE3487" s="52"/>
      <c r="AF3487" s="52"/>
      <c r="AG3487" s="52"/>
      <c r="AH3487" s="52"/>
      <c r="AI3487" s="50"/>
      <c r="AL3487" s="50"/>
      <c r="AM3487" s="52"/>
      <c r="AN3487" s="52"/>
    </row>
    <row r="3488" spans="16:40" x14ac:dyDescent="0.2">
      <c r="P3488" s="52"/>
      <c r="Q3488" s="52"/>
      <c r="R3488" s="52"/>
      <c r="S3488" s="52"/>
      <c r="T3488" s="52"/>
      <c r="U3488" s="52"/>
      <c r="V3488" s="52"/>
      <c r="W3488" s="52"/>
      <c r="X3488" s="52"/>
      <c r="Y3488" s="52"/>
      <c r="Z3488" s="52"/>
      <c r="AA3488" s="52"/>
      <c r="AB3488" s="52"/>
      <c r="AC3488" s="52"/>
      <c r="AD3488" s="52"/>
      <c r="AE3488" s="52"/>
      <c r="AF3488" s="52"/>
      <c r="AG3488" s="52"/>
      <c r="AH3488" s="52"/>
      <c r="AI3488" s="50"/>
      <c r="AL3488" s="50"/>
      <c r="AM3488" s="52"/>
      <c r="AN3488" s="52"/>
    </row>
    <row r="3489" spans="16:40" x14ac:dyDescent="0.2">
      <c r="P3489" s="52"/>
      <c r="Q3489" s="52"/>
      <c r="R3489" s="52"/>
      <c r="S3489" s="52"/>
      <c r="T3489" s="52"/>
      <c r="U3489" s="52"/>
      <c r="V3489" s="52"/>
      <c r="W3489" s="52"/>
      <c r="X3489" s="52"/>
      <c r="Y3489" s="52"/>
      <c r="Z3489" s="52"/>
      <c r="AA3489" s="52"/>
      <c r="AB3489" s="52"/>
      <c r="AC3489" s="52"/>
      <c r="AD3489" s="52"/>
      <c r="AE3489" s="52"/>
      <c r="AF3489" s="52"/>
      <c r="AG3489" s="52"/>
      <c r="AH3489" s="52"/>
      <c r="AI3489" s="50"/>
      <c r="AL3489" s="50"/>
      <c r="AM3489" s="52"/>
      <c r="AN3489" s="52"/>
    </row>
    <row r="3490" spans="16:40" x14ac:dyDescent="0.2">
      <c r="P3490" s="52"/>
      <c r="Q3490" s="52"/>
      <c r="R3490" s="52"/>
      <c r="S3490" s="52"/>
      <c r="T3490" s="52"/>
      <c r="U3490" s="52"/>
      <c r="V3490" s="52"/>
      <c r="W3490" s="52"/>
      <c r="X3490" s="52"/>
      <c r="Y3490" s="52"/>
      <c r="Z3490" s="52"/>
      <c r="AA3490" s="52"/>
      <c r="AB3490" s="52"/>
      <c r="AC3490" s="52"/>
      <c r="AD3490" s="52"/>
      <c r="AE3490" s="52"/>
      <c r="AF3490" s="52"/>
      <c r="AG3490" s="52"/>
      <c r="AH3490" s="52"/>
      <c r="AI3490" s="50"/>
      <c r="AL3490" s="50"/>
      <c r="AM3490" s="52"/>
      <c r="AN3490" s="52"/>
    </row>
    <row r="3491" spans="16:40" x14ac:dyDescent="0.2">
      <c r="P3491" s="52"/>
      <c r="Q3491" s="52"/>
      <c r="R3491" s="52"/>
      <c r="S3491" s="52"/>
      <c r="T3491" s="52"/>
      <c r="U3491" s="52"/>
      <c r="V3491" s="52"/>
      <c r="W3491" s="52"/>
      <c r="X3491" s="52"/>
      <c r="Y3491" s="52"/>
      <c r="Z3491" s="52"/>
      <c r="AA3491" s="52"/>
      <c r="AB3491" s="52"/>
      <c r="AC3491" s="52"/>
      <c r="AD3491" s="52"/>
      <c r="AE3491" s="52"/>
      <c r="AF3491" s="52"/>
      <c r="AG3491" s="52"/>
      <c r="AH3491" s="52"/>
      <c r="AI3491" s="50"/>
      <c r="AL3491" s="50"/>
      <c r="AM3491" s="52"/>
      <c r="AN3491" s="52"/>
    </row>
    <row r="3492" spans="16:40" x14ac:dyDescent="0.2">
      <c r="P3492" s="52"/>
      <c r="Q3492" s="52"/>
      <c r="R3492" s="52"/>
      <c r="S3492" s="52"/>
      <c r="T3492" s="52"/>
      <c r="U3492" s="52"/>
      <c r="V3492" s="52"/>
      <c r="W3492" s="52"/>
      <c r="X3492" s="52"/>
      <c r="Y3492" s="52"/>
      <c r="Z3492" s="52"/>
      <c r="AA3492" s="52"/>
      <c r="AB3492" s="52"/>
      <c r="AC3492" s="52"/>
      <c r="AD3492" s="52"/>
      <c r="AE3492" s="52"/>
      <c r="AF3492" s="52"/>
      <c r="AG3492" s="52"/>
      <c r="AH3492" s="52"/>
      <c r="AI3492" s="50"/>
      <c r="AL3492" s="50"/>
      <c r="AM3492" s="52"/>
      <c r="AN3492" s="52"/>
    </row>
    <row r="3493" spans="16:40" x14ac:dyDescent="0.2">
      <c r="P3493" s="52"/>
      <c r="Q3493" s="52"/>
      <c r="R3493" s="52"/>
      <c r="S3493" s="52"/>
      <c r="T3493" s="52"/>
      <c r="U3493" s="52"/>
      <c r="V3493" s="52"/>
      <c r="W3493" s="52"/>
      <c r="X3493" s="52"/>
      <c r="Y3493" s="52"/>
      <c r="Z3493" s="52"/>
      <c r="AA3493" s="52"/>
      <c r="AB3493" s="52"/>
      <c r="AC3493" s="52"/>
      <c r="AD3493" s="52"/>
      <c r="AE3493" s="52"/>
      <c r="AF3493" s="52"/>
      <c r="AG3493" s="52"/>
      <c r="AH3493" s="52"/>
      <c r="AI3493" s="50"/>
      <c r="AL3493" s="50"/>
      <c r="AM3493" s="52"/>
      <c r="AN3493" s="52"/>
    </row>
    <row r="3494" spans="16:40" x14ac:dyDescent="0.2">
      <c r="P3494" s="52"/>
      <c r="Q3494" s="52"/>
      <c r="R3494" s="52"/>
      <c r="S3494" s="52"/>
      <c r="T3494" s="52"/>
      <c r="U3494" s="52"/>
      <c r="V3494" s="52"/>
      <c r="W3494" s="52"/>
      <c r="X3494" s="52"/>
      <c r="Y3494" s="52"/>
      <c r="Z3494" s="52"/>
      <c r="AA3494" s="52"/>
      <c r="AB3494" s="52"/>
      <c r="AC3494" s="52"/>
      <c r="AD3494" s="52"/>
      <c r="AE3494" s="52"/>
      <c r="AF3494" s="52"/>
      <c r="AG3494" s="52"/>
      <c r="AH3494" s="52"/>
      <c r="AI3494" s="50"/>
      <c r="AL3494" s="50"/>
      <c r="AM3494" s="52"/>
      <c r="AN3494" s="52"/>
    </row>
  </sheetData>
  <sortState xmlns:xlrd2="http://schemas.microsoft.com/office/spreadsheetml/2017/richdata2" ref="A2:AQ11468">
    <sortCondition ref="AK2:AK11468"/>
    <sortCondition ref="J2:J11468"/>
  </sortState>
  <pageMargins left="0.7" right="0.7" top="0.75" bottom="0.75" header="0.3" footer="0.3"/>
  <pageSetup paperSize="9" scale="3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714fe-1bd8-4242-a834-e8d67f7067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98BA6F75941843A44D80689ED1C25A" ma:contentTypeVersion="15" ma:contentTypeDescription="Crear nuevo documento." ma:contentTypeScope="" ma:versionID="b3bbc425c1d8e9d6d0bd49a14cde0232">
  <xsd:schema xmlns:xsd="http://www.w3.org/2001/XMLSchema" xmlns:xs="http://www.w3.org/2001/XMLSchema" xmlns:p="http://schemas.microsoft.com/office/2006/metadata/properties" xmlns:ns3="6d4714fe-1bd8-4242-a834-e8d67f706779" xmlns:ns4="24bdced7-e220-4662-b84a-dc1e78072b39" targetNamespace="http://schemas.microsoft.com/office/2006/metadata/properties" ma:root="true" ma:fieldsID="8b162ddfc4e4c3ca89d6c686315e819e" ns3:_="" ns4:_="">
    <xsd:import namespace="6d4714fe-1bd8-4242-a834-e8d67f706779"/>
    <xsd:import namespace="24bdced7-e220-4662-b84a-dc1e78072b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714fe-1bd8-4242-a834-e8d67f7067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dced7-e220-4662-b84a-dc1e78072b3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12609B-31B1-405B-AE31-917EF82AE2AF}">
  <ds:schemaRefs>
    <ds:schemaRef ds:uri="http://schemas.openxmlformats.org/package/2006/metadata/core-properties"/>
    <ds:schemaRef ds:uri="24bdced7-e220-4662-b84a-dc1e78072b39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6d4714fe-1bd8-4242-a834-e8d67f706779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84E1319-8837-40EF-A3E1-452D83B8DB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569BB6-6905-42BD-BFCB-BE5FAC1D26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714fe-1bd8-4242-a834-e8d67f706779"/>
    <ds:schemaRef ds:uri="24bdced7-e220-4662-b84a-dc1e78072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Detalle_ Radicacion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Boyaca Guarin Guillermo Alberto</dc:creator>
  <cp:keywords/>
  <dc:description/>
  <cp:lastModifiedBy>MIGUEL ANGEL ESTEBAN NIETO</cp:lastModifiedBy>
  <cp:revision/>
  <dcterms:created xsi:type="dcterms:W3CDTF">2025-03-06T19:12:50Z</dcterms:created>
  <dcterms:modified xsi:type="dcterms:W3CDTF">2025-10-14T20:17:19Z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0x0101008198BA6F75941843A44D80689ED1C25A</vt:lpwstr>
  </property>
</Properties>
</file>